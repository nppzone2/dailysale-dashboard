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iway-my.sharepoint.com/personal/tam02_heiway_net/Documents/Documents/MINH/DIP/2026/Dashboard/Data Source/Current Month/"/>
    </mc:Choice>
  </mc:AlternateContent>
  <xr:revisionPtr revIDLastSave="71" documentId="8_{9BF53096-EA41-4D7D-A5FC-42D683471B72}" xr6:coauthVersionLast="47" xr6:coauthVersionMax="47" xr10:uidLastSave="{548E933F-1A39-4D6C-B3CB-A42CD1D9F2E7}"/>
  <bookViews>
    <workbookView xWindow="-110" yWindow="-110" windowWidth="19420" windowHeight="10300" xr2:uid="{BD7509B1-4366-4AF8-967E-93F9417C2D4B}"/>
  </bookViews>
  <sheets>
    <sheet name="Allocation" sheetId="1" r:id="rId1"/>
    <sheet name="Upload Date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 l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51" i="1"/>
  <c r="I54" i="1"/>
  <c r="I57" i="1"/>
  <c r="I60" i="1"/>
  <c r="I63" i="1"/>
  <c r="I66" i="1"/>
  <c r="I69" i="1"/>
  <c r="I49" i="1"/>
  <c r="I52" i="1"/>
  <c r="I55" i="1"/>
  <c r="I58" i="1"/>
  <c r="I61" i="1"/>
  <c r="I64" i="1"/>
  <c r="I67" i="1"/>
  <c r="I70" i="1"/>
  <c r="I50" i="1"/>
  <c r="I53" i="1"/>
  <c r="I56" i="1"/>
  <c r="I59" i="1"/>
  <c r="I62" i="1"/>
  <c r="I65" i="1"/>
  <c r="I68" i="1"/>
  <c r="I71" i="1"/>
  <c r="B5" i="2"/>
  <c r="C5" i="2"/>
  <c r="D5" i="2" s="1"/>
  <c r="B6" i="2"/>
  <c r="C6" i="2" s="1"/>
  <c r="D6" i="2" s="1"/>
  <c r="B7" i="2"/>
  <c r="C7" i="2" s="1"/>
  <c r="D7" i="2" s="1"/>
  <c r="B3" i="2"/>
  <c r="C3" i="2" s="1"/>
  <c r="D3" i="2" s="1"/>
  <c r="B4" i="2"/>
  <c r="C4" i="2" s="1"/>
  <c r="D4" i="2" s="1"/>
  <c r="B2" i="2"/>
  <c r="C2" i="2" s="1"/>
  <c r="D2" i="2" s="1"/>
  <c r="E2" i="2" l="1"/>
</calcChain>
</file>

<file path=xl/sharedStrings.xml><?xml version="1.0" encoding="utf-8"?>
<sst xmlns="http://schemas.openxmlformats.org/spreadsheetml/2006/main" count="370" uniqueCount="32">
  <si>
    <t>WEEK</t>
  </si>
  <si>
    <t>AREA</t>
  </si>
  <si>
    <t>Alpha_Name</t>
  </si>
  <si>
    <t>ShortCode</t>
  </si>
  <si>
    <t>Allocation</t>
  </si>
  <si>
    <t>Region</t>
  </si>
  <si>
    <t>W39</t>
  </si>
  <si>
    <t>HCM 11</t>
  </si>
  <si>
    <t>HM12</t>
  </si>
  <si>
    <t>HS2</t>
  </si>
  <si>
    <t>HSC</t>
  </si>
  <si>
    <t>HSB</t>
  </si>
  <si>
    <t>HCM 3</t>
  </si>
  <si>
    <t>P444</t>
  </si>
  <si>
    <t>P461</t>
  </si>
  <si>
    <t>P467</t>
  </si>
  <si>
    <t>HCM 4</t>
  </si>
  <si>
    <t>P449</t>
  </si>
  <si>
    <t>P468</t>
  </si>
  <si>
    <t>HCM 5</t>
  </si>
  <si>
    <t>P450</t>
  </si>
  <si>
    <t>P69</t>
  </si>
  <si>
    <t>W40</t>
  </si>
  <si>
    <t>W41</t>
  </si>
  <si>
    <t>HCM Zone 2</t>
  </si>
  <si>
    <t>Batch 1</t>
  </si>
  <si>
    <t>Batch 2</t>
  </si>
  <si>
    <t>Batch 3</t>
  </si>
  <si>
    <t>WEEK No</t>
  </si>
  <si>
    <t>W42</t>
  </si>
  <si>
    <t>W43</t>
  </si>
  <si>
    <t>W44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</si>
</sst>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theme="7"/>
      </patternFill>
    </fill>
  </fills>
  <borders count="2">
    <border>
      <left/>
      <right/>
      <top/>
      <bottom/>
      <diagonal/>
    </border>
    <border>
      <left style="thin">
        <color theme="7"/>
      </left>
      <right/>
      <top style="thin">
        <color theme="7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3" fontId="0" fillId="0" borderId="0" xfId="0" applyNumberFormat="1"/>
    <xf numFmtId="164" fontId="0" fillId="0" borderId="0" xfId="1" applyNumberFormat="1" applyFont="1"/>
    <xf numFmtId="0" fontId="0" fillId="0" borderId="1" xfId="0" applyFont="1" applyBorder="1"/>
    <xf numFmtId="0" fontId="0" fillId="0" borderId="0" xfId="0" applyFont="1" applyBorder="1"/>
    <xf numFmtId="14" fontId="0" fillId="0" borderId="0" xfId="0" applyNumberFormat="1"/>
    <xf numFmtId="0" fontId="3" fillId="2" borderId="0" xfId="0" applyFont="1" applyFill="1" applyBorder="1"/>
  </cellXfs>
  <cellStyles count="2">
    <cellStyle name="Comma" xfId="1" builtinId="3"/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7"/>
          <bgColor theme="7"/>
        </patternFill>
      </fill>
    </dxf>
    <dxf>
      <border outline="0">
        <top style="thin">
          <color theme="7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C1577D-FDC1-4B45-9043-14B5636F182B}" name="Table1" displayName="Table1" ref="A1:I71" totalsRowShown="0">
  <autoFilter ref="A1:I71" xr:uid="{2AC1577D-FDC1-4B45-9043-14B5636F182B}"/>
  <sortState xmlns:xlrd2="http://schemas.microsoft.com/office/spreadsheetml/2017/richdata2" ref="A2:I71">
    <sortCondition ref="A1:A71"/>
  </sortState>
  <tableColumns count="9">
    <tableColumn id="1" xr3:uid="{54ADC1FB-6132-4A5D-9390-15917ABB74E0}" name="WEEK"/>
    <tableColumn id="2" xr3:uid="{F72492B8-E8B7-4849-BFF0-AB443293B8FE}" name="Region"/>
    <tableColumn id="3" xr3:uid="{ACE670DE-4E29-4585-ACB5-5A8742CD8D7E}" name="AREA"/>
    <tableColumn id="4" xr3:uid="{EF88D3AE-4C5A-42FB-AC1A-E8F7CC057A55}" name="Alpha_Name"/>
    <tableColumn id="5" xr3:uid="{F8BAC2C8-E891-44E0-ABAB-54EE99B5A28A}" name="ShortCode"/>
    <tableColumn id="9" xr3:uid="{237BB302-3AC4-46F9-9C8A-76DC49C7D682}" name="Batch 1"/>
    <tableColumn id="8" xr3:uid="{7E9272DF-2204-41E1-9ED5-0FFC2194E625}" name="Batch 2"/>
    <tableColumn id="7" xr3:uid="{F6B3FC4A-52CB-4BE3-B394-37927149127B}" name="Batch 3"/>
    <tableColumn id="6" xr3:uid="{28842323-118E-430A-B868-291D1E01318B}" name="Allocation" dataDxfId="2" dataCellStyle="Comma">
      <calculatedColumnFormula>SUM(F2,G2,H2)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5C8273-6983-4947-A1B6-5F9B1A378AD9}" name="Table2" displayName="Table2" ref="A1:E7" totalsRowShown="0" headerRowDxfId="0" tableBorderDxfId="1">
  <autoFilter ref="A1:E7" xr:uid="{155C8273-6983-4947-A1B6-5F9B1A378AD9}"/>
  <tableColumns count="5">
    <tableColumn id="1" xr3:uid="{6D07320A-4B0B-46AE-8423-F3BFEEFDB52F}" name="WEEK"/>
    <tableColumn id="2" xr3:uid="{7B1D8ECE-3D42-498D-AA3E-7AFDE2881B3B}" name="WEEK No"/>
    <tableColumn id="3" xr3:uid="{26FF3982-E1A8-42F8-BCE7-B82D55D7DD81}" name="Batch 1"/>
    <tableColumn id="4" xr3:uid="{2416A126-F408-476E-AECC-3B7D6FC5F471}" name="Batch 2"/>
    <tableColumn id="5" xr3:uid="{74E070DE-88DB-4F95-86F9-A442BEDA4EDD}" name="Batch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229BE-C307-4D75-9B2D-07914D6414BC}">
  <dimension ref="A1:I71"/>
  <sheetViews>
    <sheetView tabSelected="1" workbookViewId="0">
      <selection activeCell="F8" sqref="F8"/>
    </sheetView>
  </sheetViews>
  <sheetFormatPr defaultRowHeight="14.5" x14ac:dyDescent="0.35"/>
  <cols>
    <col min="2" max="2" width="10.453125" bestFit="1" customWidth="1"/>
    <col min="4" max="4" width="13.36328125" customWidth="1"/>
    <col min="5" max="5" width="11.6328125" customWidth="1"/>
    <col min="6" max="8" width="9.26953125" bestFit="1" customWidth="1"/>
    <col min="9" max="9" width="12.81640625" style="2" bestFit="1" customWidth="1"/>
  </cols>
  <sheetData>
    <row r="1" spans="1:9" x14ac:dyDescent="0.35">
      <c r="A1" t="s">
        <v>0</v>
      </c>
      <c r="B1" t="s">
        <v>5</v>
      </c>
      <c r="C1" t="s">
        <v>1</v>
      </c>
      <c r="D1" t="s">
        <v>2</v>
      </c>
      <c r="E1" t="s">
        <v>3</v>
      </c>
      <c r="F1" t="s">
        <v>25</v>
      </c>
      <c r="G1" t="s">
        <v>26</v>
      </c>
      <c r="H1" t="s">
        <v>27</v>
      </c>
      <c r="I1" s="2" t="s">
        <v>4</v>
      </c>
    </row>
    <row r="2" spans="1:9" x14ac:dyDescent="0.35">
      <c r="A2" t="s">
        <v>6</v>
      </c>
      <c r="B2" t="s">
        <v>24</v>
      </c>
      <c r="C2" t="s">
        <v>7</v>
      </c>
      <c r="D2" t="s">
        <v>8</v>
      </c>
      <c r="E2" t="s">
        <v>9</v>
      </c>
      <c r="H2">
        <v>8112</v>
      </c>
      <c r="I2" s="2">
        <f>SUM(F2,G2,H2)</f>
        <v>8112</v>
      </c>
    </row>
    <row r="3" spans="1:9" x14ac:dyDescent="0.35">
      <c r="A3" t="s">
        <v>6</v>
      </c>
      <c r="B3" t="s">
        <v>24</v>
      </c>
      <c r="C3" t="s">
        <v>7</v>
      </c>
      <c r="D3" t="s">
        <v>8</v>
      </c>
      <c r="E3" t="s">
        <v>10</v>
      </c>
      <c r="H3">
        <v>1300</v>
      </c>
      <c r="I3" s="2">
        <f>SUM(F3,G3,H3)</f>
        <v>1300</v>
      </c>
    </row>
    <row r="4" spans="1:9" x14ac:dyDescent="0.35">
      <c r="A4" t="s">
        <v>6</v>
      </c>
      <c r="B4" t="s">
        <v>24</v>
      </c>
      <c r="C4" t="s">
        <v>7</v>
      </c>
      <c r="D4" t="s">
        <v>8</v>
      </c>
      <c r="E4" t="s">
        <v>11</v>
      </c>
      <c r="H4">
        <v>0</v>
      </c>
      <c r="I4" s="2">
        <f>SUM(F4,G4,H4)</f>
        <v>0</v>
      </c>
    </row>
    <row r="5" spans="1:9" x14ac:dyDescent="0.35">
      <c r="A5" t="s">
        <v>6</v>
      </c>
      <c r="B5" t="s">
        <v>24</v>
      </c>
      <c r="C5" t="s">
        <v>12</v>
      </c>
      <c r="D5" t="s">
        <v>13</v>
      </c>
      <c r="E5" t="s">
        <v>9</v>
      </c>
      <c r="H5">
        <v>4563</v>
      </c>
      <c r="I5" s="2">
        <f>SUM(F5,G5,H5)</f>
        <v>4563</v>
      </c>
    </row>
    <row r="6" spans="1:9" x14ac:dyDescent="0.35">
      <c r="A6" t="s">
        <v>6</v>
      </c>
      <c r="B6" t="s">
        <v>24</v>
      </c>
      <c r="C6" t="s">
        <v>12</v>
      </c>
      <c r="D6" t="s">
        <v>13</v>
      </c>
      <c r="E6" t="s">
        <v>10</v>
      </c>
      <c r="H6">
        <v>1040</v>
      </c>
      <c r="I6" s="2">
        <f>SUM(F6,G6,H6)</f>
        <v>1040</v>
      </c>
    </row>
    <row r="7" spans="1:9" x14ac:dyDescent="0.35">
      <c r="A7" t="s">
        <v>6</v>
      </c>
      <c r="B7" t="s">
        <v>24</v>
      </c>
      <c r="C7" t="s">
        <v>12</v>
      </c>
      <c r="D7" t="s">
        <v>14</v>
      </c>
      <c r="E7" t="s">
        <v>9</v>
      </c>
      <c r="H7">
        <v>4901</v>
      </c>
      <c r="I7" s="2">
        <f>SUM(F7,G7,H7)</f>
        <v>4901</v>
      </c>
    </row>
    <row r="8" spans="1:9" x14ac:dyDescent="0.35">
      <c r="A8" t="s">
        <v>6</v>
      </c>
      <c r="B8" t="s">
        <v>24</v>
      </c>
      <c r="C8" t="s">
        <v>12</v>
      </c>
      <c r="D8" t="s">
        <v>14</v>
      </c>
      <c r="E8" t="s">
        <v>10</v>
      </c>
      <c r="H8">
        <v>1040</v>
      </c>
      <c r="I8" s="2">
        <f>SUM(F8,G8,H8)</f>
        <v>1040</v>
      </c>
    </row>
    <row r="9" spans="1:9" x14ac:dyDescent="0.35">
      <c r="A9" t="s">
        <v>6</v>
      </c>
      <c r="B9" t="s">
        <v>24</v>
      </c>
      <c r="C9" t="s">
        <v>12</v>
      </c>
      <c r="D9" t="s">
        <v>14</v>
      </c>
      <c r="E9" t="s">
        <v>11</v>
      </c>
      <c r="H9">
        <v>0</v>
      </c>
      <c r="I9" s="2">
        <f>SUM(F9,G9,H9)</f>
        <v>0</v>
      </c>
    </row>
    <row r="10" spans="1:9" x14ac:dyDescent="0.35">
      <c r="A10" t="s">
        <v>6</v>
      </c>
      <c r="B10" t="s">
        <v>24</v>
      </c>
      <c r="C10" t="s">
        <v>12</v>
      </c>
      <c r="D10" t="s">
        <v>15</v>
      </c>
      <c r="E10" t="s">
        <v>9</v>
      </c>
      <c r="H10">
        <v>3887</v>
      </c>
      <c r="I10" s="2">
        <f>SUM(F10,G10,H10)</f>
        <v>3887</v>
      </c>
    </row>
    <row r="11" spans="1:9" x14ac:dyDescent="0.35">
      <c r="A11" t="s">
        <v>6</v>
      </c>
      <c r="B11" t="s">
        <v>24</v>
      </c>
      <c r="C11" t="s">
        <v>12</v>
      </c>
      <c r="D11" t="s">
        <v>15</v>
      </c>
      <c r="E11" t="s">
        <v>10</v>
      </c>
      <c r="H11">
        <v>910</v>
      </c>
      <c r="I11" s="2">
        <f>SUM(F11,G11,H11)</f>
        <v>910</v>
      </c>
    </row>
    <row r="12" spans="1:9" x14ac:dyDescent="0.35">
      <c r="A12" t="s">
        <v>6</v>
      </c>
      <c r="B12" t="s">
        <v>24</v>
      </c>
      <c r="C12" t="s">
        <v>16</v>
      </c>
      <c r="D12" t="s">
        <v>17</v>
      </c>
      <c r="E12" t="s">
        <v>9</v>
      </c>
      <c r="H12">
        <v>6084</v>
      </c>
      <c r="I12" s="2">
        <f>SUM(F12,G12,H12)</f>
        <v>6084</v>
      </c>
    </row>
    <row r="13" spans="1:9" x14ac:dyDescent="0.35">
      <c r="A13" t="s">
        <v>6</v>
      </c>
      <c r="B13" t="s">
        <v>24</v>
      </c>
      <c r="C13" t="s">
        <v>16</v>
      </c>
      <c r="D13" t="s">
        <v>17</v>
      </c>
      <c r="E13" t="s">
        <v>10</v>
      </c>
      <c r="H13">
        <v>1430</v>
      </c>
      <c r="I13" s="2">
        <f>SUM(F13,G13,H13)</f>
        <v>1430</v>
      </c>
    </row>
    <row r="14" spans="1:9" x14ac:dyDescent="0.35">
      <c r="A14" t="s">
        <v>6</v>
      </c>
      <c r="B14" t="s">
        <v>24</v>
      </c>
      <c r="C14" t="s">
        <v>16</v>
      </c>
      <c r="D14" t="s">
        <v>17</v>
      </c>
      <c r="E14" t="s">
        <v>11</v>
      </c>
      <c r="H14">
        <v>0</v>
      </c>
      <c r="I14" s="2">
        <f>SUM(F14,G14,H14)</f>
        <v>0</v>
      </c>
    </row>
    <row r="15" spans="1:9" x14ac:dyDescent="0.35">
      <c r="A15" t="s">
        <v>6</v>
      </c>
      <c r="B15" t="s">
        <v>24</v>
      </c>
      <c r="C15" t="s">
        <v>16</v>
      </c>
      <c r="D15" t="s">
        <v>18</v>
      </c>
      <c r="E15" t="s">
        <v>9</v>
      </c>
      <c r="H15">
        <v>3380</v>
      </c>
      <c r="I15" s="2">
        <f>SUM(F15,G15,H15)</f>
        <v>3380</v>
      </c>
    </row>
    <row r="16" spans="1:9" x14ac:dyDescent="0.35">
      <c r="A16" t="s">
        <v>6</v>
      </c>
      <c r="B16" t="s">
        <v>24</v>
      </c>
      <c r="C16" t="s">
        <v>16</v>
      </c>
      <c r="D16" t="s">
        <v>18</v>
      </c>
      <c r="E16" t="s">
        <v>10</v>
      </c>
      <c r="H16">
        <v>611</v>
      </c>
      <c r="I16" s="2">
        <f>SUM(F16,G16,H16)</f>
        <v>611</v>
      </c>
    </row>
    <row r="17" spans="1:9" x14ac:dyDescent="0.35">
      <c r="A17" t="s">
        <v>6</v>
      </c>
      <c r="B17" t="s">
        <v>24</v>
      </c>
      <c r="C17" t="s">
        <v>16</v>
      </c>
      <c r="D17" t="s">
        <v>18</v>
      </c>
      <c r="E17" t="s">
        <v>11</v>
      </c>
      <c r="H17">
        <v>0</v>
      </c>
      <c r="I17" s="2">
        <f>SUM(F17,G17,H17)</f>
        <v>0</v>
      </c>
    </row>
    <row r="18" spans="1:9" x14ac:dyDescent="0.35">
      <c r="A18" t="s">
        <v>6</v>
      </c>
      <c r="B18" t="s">
        <v>24</v>
      </c>
      <c r="C18" t="s">
        <v>19</v>
      </c>
      <c r="D18" t="s">
        <v>20</v>
      </c>
      <c r="E18" t="s">
        <v>9</v>
      </c>
      <c r="H18">
        <v>4056</v>
      </c>
      <c r="I18" s="2">
        <f>SUM(F18,G18,H18)</f>
        <v>4056</v>
      </c>
    </row>
    <row r="19" spans="1:9" x14ac:dyDescent="0.35">
      <c r="A19" t="s">
        <v>6</v>
      </c>
      <c r="B19" t="s">
        <v>24</v>
      </c>
      <c r="C19" t="s">
        <v>19</v>
      </c>
      <c r="D19" t="s">
        <v>20</v>
      </c>
      <c r="E19" t="s">
        <v>10</v>
      </c>
      <c r="H19">
        <v>1300</v>
      </c>
      <c r="I19" s="2">
        <f>SUM(F19,G19,H19)</f>
        <v>1300</v>
      </c>
    </row>
    <row r="20" spans="1:9" x14ac:dyDescent="0.35">
      <c r="A20" t="s">
        <v>6</v>
      </c>
      <c r="B20" t="s">
        <v>24</v>
      </c>
      <c r="C20" t="s">
        <v>19</v>
      </c>
      <c r="D20" t="s">
        <v>20</v>
      </c>
      <c r="E20" t="s">
        <v>11</v>
      </c>
      <c r="H20">
        <v>0</v>
      </c>
      <c r="I20" s="2">
        <f>SUM(F20,G20,H20)</f>
        <v>0</v>
      </c>
    </row>
    <row r="21" spans="1:9" x14ac:dyDescent="0.35">
      <c r="A21" t="s">
        <v>6</v>
      </c>
      <c r="B21" t="s">
        <v>24</v>
      </c>
      <c r="C21" t="s">
        <v>19</v>
      </c>
      <c r="D21" t="s">
        <v>21</v>
      </c>
      <c r="E21" t="s">
        <v>9</v>
      </c>
      <c r="H21">
        <v>4563</v>
      </c>
      <c r="I21" s="2">
        <f>SUM(F21,G21,H21)</f>
        <v>4563</v>
      </c>
    </row>
    <row r="22" spans="1:9" x14ac:dyDescent="0.35">
      <c r="A22" t="s">
        <v>6</v>
      </c>
      <c r="B22" t="s">
        <v>24</v>
      </c>
      <c r="C22" t="s">
        <v>19</v>
      </c>
      <c r="D22" t="s">
        <v>21</v>
      </c>
      <c r="E22" t="s">
        <v>10</v>
      </c>
      <c r="H22">
        <v>1560</v>
      </c>
      <c r="I22" s="2">
        <f>SUM(F22,G22,H22)</f>
        <v>1560</v>
      </c>
    </row>
    <row r="23" spans="1:9" x14ac:dyDescent="0.35">
      <c r="A23" t="s">
        <v>6</v>
      </c>
      <c r="B23" t="s">
        <v>24</v>
      </c>
      <c r="C23" t="s">
        <v>19</v>
      </c>
      <c r="D23" t="s">
        <v>21</v>
      </c>
      <c r="E23" t="s">
        <v>11</v>
      </c>
      <c r="H23">
        <v>0</v>
      </c>
      <c r="I23" s="2">
        <f>SUM(F23,G23,H23)</f>
        <v>0</v>
      </c>
    </row>
    <row r="24" spans="1:9" x14ac:dyDescent="0.35">
      <c r="A24" t="s">
        <v>22</v>
      </c>
      <c r="B24" t="s">
        <v>24</v>
      </c>
      <c r="C24" t="s">
        <v>7</v>
      </c>
      <c r="D24" t="s">
        <v>8</v>
      </c>
      <c r="E24" t="s">
        <v>9</v>
      </c>
      <c r="F24">
        <v>15717</v>
      </c>
      <c r="G24">
        <v>8957</v>
      </c>
      <c r="I24" s="2">
        <f>SUM(F24,G24,H24)</f>
        <v>24674</v>
      </c>
    </row>
    <row r="25" spans="1:9" x14ac:dyDescent="0.35">
      <c r="A25" t="s">
        <v>22</v>
      </c>
      <c r="B25" t="s">
        <v>24</v>
      </c>
      <c r="C25" t="s">
        <v>7</v>
      </c>
      <c r="D25" t="s">
        <v>8</v>
      </c>
      <c r="E25" t="s">
        <v>10</v>
      </c>
      <c r="F25">
        <v>1690</v>
      </c>
      <c r="G25">
        <v>780</v>
      </c>
      <c r="I25" s="2">
        <f>SUM(F25,G25,H25)</f>
        <v>2470</v>
      </c>
    </row>
    <row r="26" spans="1:9" x14ac:dyDescent="0.35">
      <c r="A26" t="s">
        <v>22</v>
      </c>
      <c r="B26" t="s">
        <v>24</v>
      </c>
      <c r="C26" t="s">
        <v>7</v>
      </c>
      <c r="D26" t="s">
        <v>8</v>
      </c>
      <c r="E26" t="s">
        <v>11</v>
      </c>
      <c r="F26">
        <v>70</v>
      </c>
      <c r="G26">
        <v>0</v>
      </c>
      <c r="I26" s="2">
        <f>SUM(F26,G26,H26)</f>
        <v>70</v>
      </c>
    </row>
    <row r="27" spans="1:9" x14ac:dyDescent="0.35">
      <c r="A27" t="s">
        <v>22</v>
      </c>
      <c r="B27" t="s">
        <v>24</v>
      </c>
      <c r="C27" t="s">
        <v>12</v>
      </c>
      <c r="D27" t="s">
        <v>13</v>
      </c>
      <c r="E27" t="s">
        <v>9</v>
      </c>
      <c r="F27">
        <v>9295</v>
      </c>
      <c r="G27">
        <v>4901</v>
      </c>
      <c r="I27" s="2">
        <f>SUM(F27,G27,H27)</f>
        <v>14196</v>
      </c>
    </row>
    <row r="28" spans="1:9" x14ac:dyDescent="0.35">
      <c r="A28" t="s">
        <v>22</v>
      </c>
      <c r="B28" t="s">
        <v>24</v>
      </c>
      <c r="C28" t="s">
        <v>12</v>
      </c>
      <c r="D28" t="s">
        <v>13</v>
      </c>
      <c r="E28" t="s">
        <v>10</v>
      </c>
      <c r="F28">
        <v>1430</v>
      </c>
      <c r="G28">
        <v>520</v>
      </c>
      <c r="I28" s="2">
        <f>SUM(F28,G28,H28)</f>
        <v>1950</v>
      </c>
    </row>
    <row r="29" spans="1:9" x14ac:dyDescent="0.35">
      <c r="A29" t="s">
        <v>22</v>
      </c>
      <c r="B29" t="s">
        <v>24</v>
      </c>
      <c r="C29" t="s">
        <v>12</v>
      </c>
      <c r="D29" t="s">
        <v>13</v>
      </c>
      <c r="E29" t="s">
        <v>11</v>
      </c>
      <c r="F29">
        <v>70</v>
      </c>
      <c r="G29">
        <v>0</v>
      </c>
      <c r="I29" s="2">
        <f>SUM(F29,G29,H29)</f>
        <v>70</v>
      </c>
    </row>
    <row r="30" spans="1:9" x14ac:dyDescent="0.35">
      <c r="A30" t="s">
        <v>22</v>
      </c>
      <c r="B30" t="s">
        <v>24</v>
      </c>
      <c r="C30" t="s">
        <v>12</v>
      </c>
      <c r="D30" t="s">
        <v>14</v>
      </c>
      <c r="E30" t="s">
        <v>9</v>
      </c>
      <c r="F30">
        <v>9633</v>
      </c>
      <c r="G30">
        <v>5239</v>
      </c>
      <c r="I30" s="2">
        <f>SUM(F30,G30,H30)</f>
        <v>14872</v>
      </c>
    </row>
    <row r="31" spans="1:9" x14ac:dyDescent="0.35">
      <c r="A31" t="s">
        <v>22</v>
      </c>
      <c r="B31" t="s">
        <v>24</v>
      </c>
      <c r="C31" t="s">
        <v>12</v>
      </c>
      <c r="D31" t="s">
        <v>14</v>
      </c>
      <c r="E31" t="s">
        <v>10</v>
      </c>
      <c r="F31">
        <v>1430</v>
      </c>
      <c r="G31">
        <v>650</v>
      </c>
      <c r="I31" s="2">
        <f>SUM(F31,G31,H31)</f>
        <v>2080</v>
      </c>
    </row>
    <row r="32" spans="1:9" x14ac:dyDescent="0.35">
      <c r="A32" t="s">
        <v>22</v>
      </c>
      <c r="B32" t="s">
        <v>24</v>
      </c>
      <c r="C32" t="s">
        <v>12</v>
      </c>
      <c r="D32" t="s">
        <v>14</v>
      </c>
      <c r="E32" t="s">
        <v>11</v>
      </c>
      <c r="F32">
        <v>70</v>
      </c>
      <c r="G32">
        <v>0</v>
      </c>
      <c r="I32" s="2">
        <f>SUM(F32,G32,H32)</f>
        <v>70</v>
      </c>
    </row>
    <row r="33" spans="1:9" x14ac:dyDescent="0.35">
      <c r="A33" t="s">
        <v>22</v>
      </c>
      <c r="B33" t="s">
        <v>24</v>
      </c>
      <c r="C33" t="s">
        <v>12</v>
      </c>
      <c r="D33" t="s">
        <v>15</v>
      </c>
      <c r="E33" t="s">
        <v>9</v>
      </c>
      <c r="F33">
        <v>7774</v>
      </c>
      <c r="G33">
        <v>4225</v>
      </c>
      <c r="I33" s="2">
        <f>SUM(F33,G33,H33)</f>
        <v>11999</v>
      </c>
    </row>
    <row r="34" spans="1:9" x14ac:dyDescent="0.35">
      <c r="A34" t="s">
        <v>22</v>
      </c>
      <c r="B34" t="s">
        <v>24</v>
      </c>
      <c r="C34" t="s">
        <v>12</v>
      </c>
      <c r="D34" t="s">
        <v>15</v>
      </c>
      <c r="E34" t="s">
        <v>10</v>
      </c>
      <c r="F34">
        <v>1170</v>
      </c>
      <c r="G34">
        <v>533</v>
      </c>
      <c r="I34" s="2">
        <f>SUM(F34,G34,H34)</f>
        <v>1703</v>
      </c>
    </row>
    <row r="35" spans="1:9" x14ac:dyDescent="0.35">
      <c r="A35" t="s">
        <v>22</v>
      </c>
      <c r="B35" t="s">
        <v>24</v>
      </c>
      <c r="C35" t="s">
        <v>12</v>
      </c>
      <c r="D35" t="s">
        <v>15</v>
      </c>
      <c r="E35" t="s">
        <v>11</v>
      </c>
      <c r="F35">
        <v>40</v>
      </c>
      <c r="G35">
        <v>0</v>
      </c>
      <c r="I35" s="2">
        <f>SUM(F35,G35,H35)</f>
        <v>40</v>
      </c>
    </row>
    <row r="36" spans="1:9" x14ac:dyDescent="0.35">
      <c r="A36" t="s">
        <v>22</v>
      </c>
      <c r="B36" t="s">
        <v>24</v>
      </c>
      <c r="C36" t="s">
        <v>16</v>
      </c>
      <c r="D36" t="s">
        <v>17</v>
      </c>
      <c r="E36" t="s">
        <v>9</v>
      </c>
      <c r="F36">
        <v>11999</v>
      </c>
      <c r="G36">
        <v>6422</v>
      </c>
      <c r="I36" s="2">
        <f>SUM(F36,G36,H36)</f>
        <v>18421</v>
      </c>
    </row>
    <row r="37" spans="1:9" x14ac:dyDescent="0.35">
      <c r="A37" t="s">
        <v>22</v>
      </c>
      <c r="B37" t="s">
        <v>24</v>
      </c>
      <c r="C37" t="s">
        <v>16</v>
      </c>
      <c r="D37" t="s">
        <v>17</v>
      </c>
      <c r="E37" t="s">
        <v>10</v>
      </c>
      <c r="F37">
        <v>1950</v>
      </c>
      <c r="G37">
        <v>780</v>
      </c>
      <c r="I37" s="2">
        <f>SUM(F37,G37,H37)</f>
        <v>2730</v>
      </c>
    </row>
    <row r="38" spans="1:9" x14ac:dyDescent="0.35">
      <c r="A38" t="s">
        <v>22</v>
      </c>
      <c r="B38" t="s">
        <v>24</v>
      </c>
      <c r="C38" t="s">
        <v>16</v>
      </c>
      <c r="D38" t="s">
        <v>17</v>
      </c>
      <c r="E38" t="s">
        <v>11</v>
      </c>
      <c r="F38">
        <v>70</v>
      </c>
      <c r="G38">
        <v>0</v>
      </c>
      <c r="I38" s="2">
        <f>SUM(F38,G38,H38)</f>
        <v>70</v>
      </c>
    </row>
    <row r="39" spans="1:9" x14ac:dyDescent="0.35">
      <c r="A39" t="s">
        <v>22</v>
      </c>
      <c r="B39" t="s">
        <v>24</v>
      </c>
      <c r="C39" t="s">
        <v>16</v>
      </c>
      <c r="D39" t="s">
        <v>18</v>
      </c>
      <c r="E39" t="s">
        <v>9</v>
      </c>
      <c r="F39">
        <v>6760</v>
      </c>
      <c r="G39">
        <v>3549</v>
      </c>
      <c r="I39" s="2">
        <f>SUM(F39,G39,H39)</f>
        <v>10309</v>
      </c>
    </row>
    <row r="40" spans="1:9" x14ac:dyDescent="0.35">
      <c r="A40" t="s">
        <v>22</v>
      </c>
      <c r="B40" t="s">
        <v>24</v>
      </c>
      <c r="C40" t="s">
        <v>16</v>
      </c>
      <c r="D40" t="s">
        <v>18</v>
      </c>
      <c r="E40" t="s">
        <v>10</v>
      </c>
      <c r="F40">
        <v>780</v>
      </c>
      <c r="G40">
        <v>390</v>
      </c>
      <c r="I40" s="2">
        <f>SUM(F40,G40,H40)</f>
        <v>1170</v>
      </c>
    </row>
    <row r="41" spans="1:9" x14ac:dyDescent="0.35">
      <c r="A41" t="s">
        <v>22</v>
      </c>
      <c r="B41" t="s">
        <v>24</v>
      </c>
      <c r="C41" t="s">
        <v>16</v>
      </c>
      <c r="D41" t="s">
        <v>18</v>
      </c>
      <c r="E41" t="s">
        <v>11</v>
      </c>
      <c r="F41">
        <v>70</v>
      </c>
      <c r="G41">
        <v>0</v>
      </c>
      <c r="I41" s="2">
        <f>SUM(F41,G41,H41)</f>
        <v>70</v>
      </c>
    </row>
    <row r="42" spans="1:9" x14ac:dyDescent="0.35">
      <c r="A42" t="s">
        <v>22</v>
      </c>
      <c r="B42" t="s">
        <v>24</v>
      </c>
      <c r="C42" t="s">
        <v>19</v>
      </c>
      <c r="D42" t="s">
        <v>20</v>
      </c>
      <c r="E42" t="s">
        <v>9</v>
      </c>
      <c r="F42">
        <v>8281</v>
      </c>
      <c r="G42">
        <v>4394</v>
      </c>
      <c r="I42" s="2">
        <f>SUM(F42,G42,H42)</f>
        <v>12675</v>
      </c>
    </row>
    <row r="43" spans="1:9" x14ac:dyDescent="0.35">
      <c r="A43" t="s">
        <v>22</v>
      </c>
      <c r="B43" t="s">
        <v>24</v>
      </c>
      <c r="C43" t="s">
        <v>19</v>
      </c>
      <c r="D43" t="s">
        <v>20</v>
      </c>
      <c r="E43" t="s">
        <v>10</v>
      </c>
      <c r="F43">
        <v>1820</v>
      </c>
      <c r="G43">
        <v>780</v>
      </c>
      <c r="I43" s="2">
        <f>SUM(F43,G43,H43)</f>
        <v>2600</v>
      </c>
    </row>
    <row r="44" spans="1:9" x14ac:dyDescent="0.35">
      <c r="A44" t="s">
        <v>22</v>
      </c>
      <c r="B44" t="s">
        <v>24</v>
      </c>
      <c r="C44" t="s">
        <v>19</v>
      </c>
      <c r="D44" t="s">
        <v>20</v>
      </c>
      <c r="E44" t="s">
        <v>11</v>
      </c>
      <c r="F44">
        <v>70</v>
      </c>
      <c r="G44">
        <v>0</v>
      </c>
      <c r="I44" s="2">
        <f>SUM(F44,G44,H44)</f>
        <v>70</v>
      </c>
    </row>
    <row r="45" spans="1:9" x14ac:dyDescent="0.35">
      <c r="A45" t="s">
        <v>22</v>
      </c>
      <c r="B45" t="s">
        <v>24</v>
      </c>
      <c r="C45" t="s">
        <v>19</v>
      </c>
      <c r="D45" t="s">
        <v>21</v>
      </c>
      <c r="E45" t="s">
        <v>9</v>
      </c>
      <c r="F45">
        <v>8957</v>
      </c>
      <c r="G45">
        <v>4732</v>
      </c>
      <c r="I45" s="2">
        <f>SUM(F45,G45,H45)</f>
        <v>13689</v>
      </c>
    </row>
    <row r="46" spans="1:9" x14ac:dyDescent="0.35">
      <c r="A46" t="s">
        <v>22</v>
      </c>
      <c r="B46" t="s">
        <v>24</v>
      </c>
      <c r="C46" t="s">
        <v>19</v>
      </c>
      <c r="D46" t="s">
        <v>21</v>
      </c>
      <c r="E46" t="s">
        <v>10</v>
      </c>
      <c r="F46">
        <v>2080</v>
      </c>
      <c r="G46">
        <v>910</v>
      </c>
      <c r="I46" s="2">
        <f>SUM(F46,G46,H46)</f>
        <v>2990</v>
      </c>
    </row>
    <row r="47" spans="1:9" x14ac:dyDescent="0.35">
      <c r="A47" t="s">
        <v>22</v>
      </c>
      <c r="B47" t="s">
        <v>24</v>
      </c>
      <c r="C47" t="s">
        <v>19</v>
      </c>
      <c r="D47" t="s">
        <v>21</v>
      </c>
      <c r="E47" t="s">
        <v>11</v>
      </c>
      <c r="F47">
        <v>70</v>
      </c>
      <c r="G47">
        <v>0</v>
      </c>
      <c r="I47" s="2">
        <f>SUM(F47,G47,H47)</f>
        <v>70</v>
      </c>
    </row>
    <row r="48" spans="1:9" x14ac:dyDescent="0.35">
      <c r="A48" t="s">
        <v>23</v>
      </c>
      <c r="B48" t="s">
        <v>24</v>
      </c>
      <c r="C48" t="s">
        <v>7</v>
      </c>
      <c r="D48" t="s">
        <v>8</v>
      </c>
      <c r="E48" s="1" t="s">
        <v>9</v>
      </c>
      <c r="F48" s="1">
        <v>21294</v>
      </c>
      <c r="G48" s="1">
        <v>5395</v>
      </c>
      <c r="H48" s="1"/>
      <c r="I48" s="2">
        <f>SUM(F48,G48,H48)</f>
        <v>26689</v>
      </c>
    </row>
    <row r="49" spans="1:9" x14ac:dyDescent="0.35">
      <c r="A49" t="s">
        <v>23</v>
      </c>
      <c r="B49" t="s">
        <v>24</v>
      </c>
      <c r="C49" t="s">
        <v>7</v>
      </c>
      <c r="D49" t="s">
        <v>8</v>
      </c>
      <c r="E49" s="1" t="s">
        <v>10</v>
      </c>
      <c r="F49" s="1">
        <v>2340</v>
      </c>
      <c r="G49" s="1">
        <v>0</v>
      </c>
      <c r="H49" s="1"/>
      <c r="I49" s="2">
        <f>SUM(F49,G49,H49)</f>
        <v>2340</v>
      </c>
    </row>
    <row r="50" spans="1:9" x14ac:dyDescent="0.35">
      <c r="A50" t="s">
        <v>23</v>
      </c>
      <c r="B50" t="s">
        <v>24</v>
      </c>
      <c r="C50" t="s">
        <v>7</v>
      </c>
      <c r="D50" t="s">
        <v>8</v>
      </c>
      <c r="E50" t="s">
        <v>11</v>
      </c>
      <c r="F50">
        <v>40</v>
      </c>
      <c r="G50" s="1">
        <v>0</v>
      </c>
      <c r="I50" s="2">
        <f>SUM(F50,G50,H50)</f>
        <v>40</v>
      </c>
    </row>
    <row r="51" spans="1:9" x14ac:dyDescent="0.35">
      <c r="A51" t="s">
        <v>23</v>
      </c>
      <c r="B51" t="s">
        <v>24</v>
      </c>
      <c r="C51" t="s">
        <v>12</v>
      </c>
      <c r="D51" t="s">
        <v>13</v>
      </c>
      <c r="E51" s="1" t="s">
        <v>9</v>
      </c>
      <c r="F51" s="1">
        <v>12675</v>
      </c>
      <c r="G51" s="1">
        <v>3211</v>
      </c>
      <c r="H51" s="1"/>
      <c r="I51" s="2">
        <f>SUM(F51,G51,H51)</f>
        <v>15886</v>
      </c>
    </row>
    <row r="52" spans="1:9" x14ac:dyDescent="0.35">
      <c r="A52" t="s">
        <v>23</v>
      </c>
      <c r="B52" t="s">
        <v>24</v>
      </c>
      <c r="C52" t="s">
        <v>12</v>
      </c>
      <c r="D52" t="s">
        <v>13</v>
      </c>
      <c r="E52" s="1" t="s">
        <v>10</v>
      </c>
      <c r="F52" s="1">
        <v>1820</v>
      </c>
      <c r="G52" s="1">
        <v>0</v>
      </c>
      <c r="H52" s="1"/>
      <c r="I52" s="2">
        <f>SUM(F52,G52,H52)</f>
        <v>1820</v>
      </c>
    </row>
    <row r="53" spans="1:9" x14ac:dyDescent="0.35">
      <c r="A53" t="s">
        <v>23</v>
      </c>
      <c r="B53" t="s">
        <v>24</v>
      </c>
      <c r="C53" t="s">
        <v>12</v>
      </c>
      <c r="D53" t="s">
        <v>13</v>
      </c>
      <c r="E53" t="s">
        <v>11</v>
      </c>
      <c r="F53">
        <v>140</v>
      </c>
      <c r="G53" s="1">
        <v>0</v>
      </c>
      <c r="I53" s="2">
        <f>SUM(F53,G53,H53)</f>
        <v>140</v>
      </c>
    </row>
    <row r="54" spans="1:9" x14ac:dyDescent="0.35">
      <c r="A54" t="s">
        <v>23</v>
      </c>
      <c r="B54" t="s">
        <v>24</v>
      </c>
      <c r="C54" t="s">
        <v>12</v>
      </c>
      <c r="D54" t="s">
        <v>14</v>
      </c>
      <c r="E54" s="1" t="s">
        <v>9</v>
      </c>
      <c r="F54" s="1">
        <v>16224</v>
      </c>
      <c r="G54" s="1">
        <v>4056</v>
      </c>
      <c r="H54" s="1"/>
      <c r="I54" s="2">
        <f>SUM(F54,G54,H54)</f>
        <v>20280</v>
      </c>
    </row>
    <row r="55" spans="1:9" x14ac:dyDescent="0.35">
      <c r="A55" t="s">
        <v>23</v>
      </c>
      <c r="B55" t="s">
        <v>24</v>
      </c>
      <c r="C55" t="s">
        <v>12</v>
      </c>
      <c r="D55" t="s">
        <v>14</v>
      </c>
      <c r="E55" s="1" t="s">
        <v>10</v>
      </c>
      <c r="F55" s="1">
        <v>2210</v>
      </c>
      <c r="G55" s="1">
        <v>0</v>
      </c>
      <c r="H55" s="1"/>
      <c r="I55" s="2">
        <f>SUM(F55,G55,H55)</f>
        <v>2210</v>
      </c>
    </row>
    <row r="56" spans="1:9" x14ac:dyDescent="0.35">
      <c r="A56" t="s">
        <v>23</v>
      </c>
      <c r="B56" t="s">
        <v>24</v>
      </c>
      <c r="C56" t="s">
        <v>12</v>
      </c>
      <c r="D56" t="s">
        <v>14</v>
      </c>
      <c r="E56" t="s">
        <v>11</v>
      </c>
      <c r="F56">
        <v>70</v>
      </c>
      <c r="G56" s="1">
        <v>0</v>
      </c>
      <c r="I56" s="2">
        <f>SUM(F56,G56,H56)</f>
        <v>70</v>
      </c>
    </row>
    <row r="57" spans="1:9" x14ac:dyDescent="0.35">
      <c r="A57" t="s">
        <v>23</v>
      </c>
      <c r="B57" t="s">
        <v>24</v>
      </c>
      <c r="C57" t="s">
        <v>12</v>
      </c>
      <c r="D57" t="s">
        <v>15</v>
      </c>
      <c r="E57" s="1" t="s">
        <v>9</v>
      </c>
      <c r="F57" s="1">
        <v>12506</v>
      </c>
      <c r="G57" s="1">
        <v>3042</v>
      </c>
      <c r="H57" s="1"/>
      <c r="I57" s="2">
        <f>SUM(F57,G57,H57)</f>
        <v>15548</v>
      </c>
    </row>
    <row r="58" spans="1:9" x14ac:dyDescent="0.35">
      <c r="A58" t="s">
        <v>23</v>
      </c>
      <c r="B58" t="s">
        <v>24</v>
      </c>
      <c r="C58" t="s">
        <v>12</v>
      </c>
      <c r="D58" t="s">
        <v>15</v>
      </c>
      <c r="E58" s="1" t="s">
        <v>10</v>
      </c>
      <c r="F58" s="1">
        <v>1820</v>
      </c>
      <c r="G58" s="1">
        <v>0</v>
      </c>
      <c r="H58" s="1"/>
      <c r="I58" s="2">
        <f>SUM(F58,G58,H58)</f>
        <v>1820</v>
      </c>
    </row>
    <row r="59" spans="1:9" x14ac:dyDescent="0.35">
      <c r="A59" t="s">
        <v>23</v>
      </c>
      <c r="B59" t="s">
        <v>24</v>
      </c>
      <c r="C59" t="s">
        <v>12</v>
      </c>
      <c r="D59" t="s">
        <v>15</v>
      </c>
      <c r="E59" t="s">
        <v>11</v>
      </c>
      <c r="F59">
        <v>70</v>
      </c>
      <c r="G59" s="1">
        <v>0</v>
      </c>
      <c r="I59" s="2">
        <f>SUM(F59,G59,H59)</f>
        <v>70</v>
      </c>
    </row>
    <row r="60" spans="1:9" x14ac:dyDescent="0.35">
      <c r="A60" t="s">
        <v>23</v>
      </c>
      <c r="B60" t="s">
        <v>24</v>
      </c>
      <c r="C60" t="s">
        <v>16</v>
      </c>
      <c r="D60" t="s">
        <v>17</v>
      </c>
      <c r="E60" s="1" t="s">
        <v>9</v>
      </c>
      <c r="F60" s="1">
        <v>18590</v>
      </c>
      <c r="G60" s="1">
        <v>4732</v>
      </c>
      <c r="H60" s="1"/>
      <c r="I60" s="2">
        <f>SUM(F60,G60,H60)</f>
        <v>23322</v>
      </c>
    </row>
    <row r="61" spans="1:9" x14ac:dyDescent="0.35">
      <c r="A61" t="s">
        <v>23</v>
      </c>
      <c r="B61" t="s">
        <v>24</v>
      </c>
      <c r="C61" t="s">
        <v>16</v>
      </c>
      <c r="D61" t="s">
        <v>17</v>
      </c>
      <c r="E61" s="1" t="s">
        <v>10</v>
      </c>
      <c r="F61" s="1">
        <v>4030</v>
      </c>
      <c r="G61" s="1">
        <v>0</v>
      </c>
      <c r="H61" s="1"/>
      <c r="I61" s="2">
        <f>SUM(F61,G61,H61)</f>
        <v>4030</v>
      </c>
    </row>
    <row r="62" spans="1:9" x14ac:dyDescent="0.35">
      <c r="A62" t="s">
        <v>23</v>
      </c>
      <c r="B62" t="s">
        <v>24</v>
      </c>
      <c r="C62" t="s">
        <v>16</v>
      </c>
      <c r="D62" t="s">
        <v>17</v>
      </c>
      <c r="E62" t="s">
        <v>11</v>
      </c>
      <c r="F62">
        <v>210</v>
      </c>
      <c r="G62" s="1">
        <v>0</v>
      </c>
      <c r="I62" s="2">
        <f>SUM(F62,G62,H62)</f>
        <v>210</v>
      </c>
    </row>
    <row r="63" spans="1:9" x14ac:dyDescent="0.35">
      <c r="A63" t="s">
        <v>23</v>
      </c>
      <c r="B63" t="s">
        <v>24</v>
      </c>
      <c r="C63" t="s">
        <v>16</v>
      </c>
      <c r="D63" t="s">
        <v>18</v>
      </c>
      <c r="E63" s="1" t="s">
        <v>9</v>
      </c>
      <c r="F63" s="1">
        <v>11999</v>
      </c>
      <c r="G63" s="1">
        <v>3042</v>
      </c>
      <c r="H63" s="1"/>
      <c r="I63" s="2">
        <f>SUM(F63,G63,H63)</f>
        <v>15041</v>
      </c>
    </row>
    <row r="64" spans="1:9" x14ac:dyDescent="0.35">
      <c r="A64" t="s">
        <v>23</v>
      </c>
      <c r="B64" t="s">
        <v>24</v>
      </c>
      <c r="C64" t="s">
        <v>16</v>
      </c>
      <c r="D64" t="s">
        <v>18</v>
      </c>
      <c r="E64" s="1" t="s">
        <v>10</v>
      </c>
      <c r="F64" s="1">
        <v>1430</v>
      </c>
      <c r="G64" s="1">
        <v>0</v>
      </c>
      <c r="H64" s="1"/>
      <c r="I64" s="2">
        <f>SUM(F64,G64,H64)</f>
        <v>1430</v>
      </c>
    </row>
    <row r="65" spans="1:9" x14ac:dyDescent="0.35">
      <c r="A65" t="s">
        <v>23</v>
      </c>
      <c r="B65" t="s">
        <v>24</v>
      </c>
      <c r="C65" t="s">
        <v>16</v>
      </c>
      <c r="D65" t="s">
        <v>18</v>
      </c>
      <c r="E65" t="s">
        <v>11</v>
      </c>
      <c r="F65">
        <v>70</v>
      </c>
      <c r="G65" s="1">
        <v>0</v>
      </c>
      <c r="I65" s="2">
        <f>SUM(F65,G65,H65)</f>
        <v>70</v>
      </c>
    </row>
    <row r="66" spans="1:9" x14ac:dyDescent="0.35">
      <c r="A66" t="s">
        <v>23</v>
      </c>
      <c r="B66" t="s">
        <v>24</v>
      </c>
      <c r="C66" t="s">
        <v>19</v>
      </c>
      <c r="D66" t="s">
        <v>20</v>
      </c>
      <c r="E66" s="1" t="s">
        <v>9</v>
      </c>
      <c r="F66" s="1">
        <v>12844</v>
      </c>
      <c r="G66" s="1">
        <v>3211</v>
      </c>
      <c r="H66" s="1"/>
      <c r="I66" s="2">
        <f>SUM(F66,G66,H66)</f>
        <v>16055</v>
      </c>
    </row>
    <row r="67" spans="1:9" x14ac:dyDescent="0.35">
      <c r="A67" t="s">
        <v>23</v>
      </c>
      <c r="B67" t="s">
        <v>24</v>
      </c>
      <c r="C67" t="s">
        <v>19</v>
      </c>
      <c r="D67" t="s">
        <v>20</v>
      </c>
      <c r="E67" s="1" t="s">
        <v>10</v>
      </c>
      <c r="F67" s="1">
        <v>2990</v>
      </c>
      <c r="G67" s="1">
        <v>0</v>
      </c>
      <c r="H67" s="1"/>
      <c r="I67" s="2">
        <f>SUM(F67,G67,H67)</f>
        <v>2990</v>
      </c>
    </row>
    <row r="68" spans="1:9" x14ac:dyDescent="0.35">
      <c r="A68" t="s">
        <v>23</v>
      </c>
      <c r="B68" t="s">
        <v>24</v>
      </c>
      <c r="C68" t="s">
        <v>19</v>
      </c>
      <c r="D68" t="s">
        <v>20</v>
      </c>
      <c r="E68" t="s">
        <v>11</v>
      </c>
      <c r="F68">
        <v>140</v>
      </c>
      <c r="G68" s="1">
        <v>0</v>
      </c>
      <c r="I68" s="2">
        <f>SUM(F68,G68,H68)</f>
        <v>140</v>
      </c>
    </row>
    <row r="69" spans="1:9" x14ac:dyDescent="0.35">
      <c r="A69" t="s">
        <v>23</v>
      </c>
      <c r="B69" t="s">
        <v>24</v>
      </c>
      <c r="C69" t="s">
        <v>19</v>
      </c>
      <c r="D69" t="s">
        <v>21</v>
      </c>
      <c r="E69" s="1" t="s">
        <v>9</v>
      </c>
      <c r="F69" s="1">
        <v>13858</v>
      </c>
      <c r="G69" s="1">
        <v>3380</v>
      </c>
      <c r="H69" s="1"/>
      <c r="I69" s="2">
        <f>SUM(F69,G69,H69)</f>
        <v>17238</v>
      </c>
    </row>
    <row r="70" spans="1:9" x14ac:dyDescent="0.35">
      <c r="A70" t="s">
        <v>23</v>
      </c>
      <c r="B70" t="s">
        <v>24</v>
      </c>
      <c r="C70" t="s">
        <v>19</v>
      </c>
      <c r="D70" t="s">
        <v>21</v>
      </c>
      <c r="E70" s="1" t="s">
        <v>10</v>
      </c>
      <c r="F70" s="1">
        <v>3120</v>
      </c>
      <c r="G70" s="1">
        <v>0</v>
      </c>
      <c r="H70" s="1"/>
      <c r="I70" s="2">
        <f>SUM(F70,G70,H70)</f>
        <v>3120</v>
      </c>
    </row>
    <row r="71" spans="1:9" x14ac:dyDescent="0.35">
      <c r="A71" t="s">
        <v>23</v>
      </c>
      <c r="B71" t="s">
        <v>24</v>
      </c>
      <c r="C71" t="s">
        <v>19</v>
      </c>
      <c r="D71" t="s">
        <v>21</v>
      </c>
      <c r="E71" t="s">
        <v>11</v>
      </c>
      <c r="F71">
        <v>70</v>
      </c>
      <c r="G71" s="1">
        <v>0</v>
      </c>
      <c r="I71" s="2">
        <f>SUM(F71,G71,H71)</f>
        <v>70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3DCEC-9EED-4838-948F-C716FA802D1E}">
  <dimension ref="A1:E7"/>
  <sheetViews>
    <sheetView workbookViewId="0">
      <selection activeCell="G8" sqref="G8"/>
    </sheetView>
  </sheetViews>
  <sheetFormatPr defaultRowHeight="14.5" x14ac:dyDescent="0.35"/>
  <cols>
    <col min="2" max="2" width="10.1796875" customWidth="1"/>
    <col min="3" max="5" width="10.08984375" bestFit="1" customWidth="1"/>
  </cols>
  <sheetData>
    <row r="1" spans="1:5" x14ac:dyDescent="0.35">
      <c r="A1" s="6" t="s">
        <v>0</v>
      </c>
      <c r="B1" s="6" t="s">
        <v>28</v>
      </c>
      <c r="C1" s="6" t="s">
        <v>25</v>
      </c>
      <c r="D1" s="6" t="s">
        <v>26</v>
      </c>
      <c r="E1" s="6" t="s">
        <v>27</v>
      </c>
    </row>
    <row r="2" spans="1:5" x14ac:dyDescent="0.35">
      <c r="A2" s="3" t="s">
        <v>6</v>
      </c>
      <c r="B2" s="4" t="str">
        <f>_xlfn.TEXTAFTER(A2,"W")</f>
        <v>39</v>
      </c>
      <c r="C2" s="5">
        <f ca="1">DATE(YEAR(TODAY()),1,4)-WEEKDAY(DATE(YEAR(TODAY()),1,4),2)+1+(B2-1)*7</f>
        <v>46286</v>
      </c>
      <c r="D2" s="5">
        <f ca="1">C2+3</f>
        <v>46289</v>
      </c>
      <c r="E2" s="5">
        <f ca="1">D2+2</f>
        <v>46291</v>
      </c>
    </row>
    <row r="3" spans="1:5" x14ac:dyDescent="0.35">
      <c r="A3" s="3" t="s">
        <v>22</v>
      </c>
      <c r="B3" s="4" t="str">
        <f t="shared" ref="B3:B7" si="0">_xlfn.TEXTAFTER(A3,"W")</f>
        <v>40</v>
      </c>
      <c r="C3" s="5">
        <f t="shared" ref="C3:C7" ca="1" si="1">DATE(YEAR(TODAY()),1,4)-WEEKDAY(DATE(YEAR(TODAY()),1,4),2)+1+(B3-1)*7</f>
        <v>46293</v>
      </c>
      <c r="D3" s="5">
        <f t="shared" ref="D3:D7" ca="1" si="2">C3+3</f>
        <v>46296</v>
      </c>
      <c r="E3" s="5"/>
    </row>
    <row r="4" spans="1:5" x14ac:dyDescent="0.35">
      <c r="A4" s="3" t="s">
        <v>23</v>
      </c>
      <c r="B4" s="4" t="str">
        <f t="shared" si="0"/>
        <v>41</v>
      </c>
      <c r="C4" s="5">
        <f t="shared" ca="1" si="1"/>
        <v>46300</v>
      </c>
      <c r="D4" s="5">
        <f t="shared" ca="1" si="2"/>
        <v>46303</v>
      </c>
      <c r="E4" s="5"/>
    </row>
    <row r="5" spans="1:5" x14ac:dyDescent="0.35">
      <c r="A5" t="s">
        <v>29</v>
      </c>
      <c r="B5" s="4" t="str">
        <f t="shared" si="0"/>
        <v>42</v>
      </c>
      <c r="C5" s="5">
        <f t="shared" ca="1" si="1"/>
        <v>46307</v>
      </c>
      <c r="D5" s="5">
        <f t="shared" ca="1" si="2"/>
        <v>46310</v>
      </c>
      <c r="E5" s="5"/>
    </row>
    <row r="6" spans="1:5" x14ac:dyDescent="0.35">
      <c r="A6" t="s">
        <v>30</v>
      </c>
      <c r="B6" s="4" t="str">
        <f t="shared" si="0"/>
        <v>43</v>
      </c>
      <c r="C6" s="5">
        <f t="shared" ca="1" si="1"/>
        <v>46314</v>
      </c>
      <c r="D6" s="5">
        <f t="shared" ca="1" si="2"/>
        <v>46317</v>
      </c>
      <c r="E6" s="5"/>
    </row>
    <row r="7" spans="1:5" x14ac:dyDescent="0.35">
      <c r="A7" t="s">
        <v>31</v>
      </c>
      <c r="B7" s="4" t="str">
        <f t="shared" si="0"/>
        <v>44</v>
      </c>
      <c r="C7" s="5">
        <f t="shared" ca="1" si="1"/>
        <v>46321</v>
      </c>
      <c r="D7" s="5">
        <f t="shared" ca="1" si="2"/>
        <v>46324</v>
      </c>
      <c r="E7" s="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Allocation</vt:lpstr>
      <vt:lpstr>Upload 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Ta Thi Thu</dc:creator>
  <cp:lastModifiedBy>Minh Ta Thi Thu</cp:lastModifiedBy>
  <dcterms:created xsi:type="dcterms:W3CDTF">2026-10-04T07:44:44Z</dcterms:created>
  <dcterms:modified xsi:type="dcterms:W3CDTF">2026-10-04T10:30:23Z</dcterms:modified>
</cp:coreProperties>
</file>