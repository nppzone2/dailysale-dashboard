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iway-my.sharepoint.com/personal/tam02_heiway_net/Documents/Documents/MINH/Github/Dataset/Distributor Sales Performance/Oct'26/Current Month/Monthly-Weekly/"/>
    </mc:Choice>
  </mc:AlternateContent>
  <xr:revisionPtr revIDLastSave="111" documentId="8_{9BF53096-EA41-4D7D-A5FC-42D683471B72}" xr6:coauthVersionLast="47" xr6:coauthVersionMax="47" xr10:uidLastSave="{F94E7501-5113-4498-A2C0-F5D8125DCF29}"/>
  <bookViews>
    <workbookView xWindow="-110" yWindow="-110" windowWidth="19420" windowHeight="10300" xr2:uid="{BD7509B1-4366-4AF8-967E-93F9417C2D4B}"/>
  </bookViews>
  <sheets>
    <sheet name="Allocation" sheetId="1" r:id="rId1"/>
    <sheet name="Upload D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57" i="1" l="1"/>
  <c r="I256" i="1"/>
  <c r="I255" i="1"/>
  <c r="I254" i="1"/>
  <c r="I253" i="1"/>
  <c r="I252" i="1"/>
  <c r="I245" i="1"/>
  <c r="I244" i="1"/>
  <c r="I243" i="1"/>
  <c r="I242" i="1"/>
  <c r="I241" i="1"/>
  <c r="I240" i="1"/>
  <c r="I233" i="1"/>
  <c r="I232" i="1"/>
  <c r="I231" i="1"/>
  <c r="I230" i="1"/>
  <c r="I229" i="1"/>
  <c r="I228" i="1"/>
  <c r="I221" i="1"/>
  <c r="I220" i="1"/>
  <c r="I219" i="1"/>
  <c r="I218" i="1"/>
  <c r="I217" i="1"/>
  <c r="I216" i="1"/>
  <c r="I209" i="1"/>
  <c r="I208" i="1"/>
  <c r="I207" i="1"/>
  <c r="I206" i="1"/>
  <c r="I205" i="1"/>
  <c r="I204" i="1"/>
  <c r="I20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1" i="1"/>
  <c r="I202" i="1"/>
  <c r="I203" i="1"/>
  <c r="I210" i="1"/>
  <c r="I211" i="1"/>
  <c r="I212" i="1"/>
  <c r="I213" i="1"/>
  <c r="I214" i="1"/>
  <c r="I215" i="1"/>
  <c r="I222" i="1"/>
  <c r="I223" i="1"/>
  <c r="I224" i="1"/>
  <c r="I225" i="1"/>
  <c r="I226" i="1"/>
  <c r="I227" i="1"/>
  <c r="I234" i="1"/>
  <c r="I235" i="1"/>
  <c r="I236" i="1"/>
  <c r="I237" i="1"/>
  <c r="I238" i="1"/>
  <c r="I239" i="1"/>
  <c r="I246" i="1"/>
  <c r="I247" i="1"/>
  <c r="I248" i="1"/>
  <c r="I249" i="1"/>
  <c r="I250" i="1"/>
  <c r="I251" i="1"/>
  <c r="I258" i="1"/>
  <c r="I259" i="1"/>
  <c r="I260" i="1"/>
  <c r="I261" i="1"/>
  <c r="I262" i="1"/>
  <c r="I263" i="1"/>
  <c r="I104" i="1"/>
  <c r="I105" i="1"/>
  <c r="I106" i="1"/>
  <c r="I107" i="1"/>
  <c r="I108" i="1"/>
  <c r="I109" i="1"/>
  <c r="I110" i="1"/>
  <c r="I96" i="1"/>
  <c r="I97" i="1"/>
  <c r="I98" i="1"/>
  <c r="I99" i="1"/>
  <c r="I100" i="1"/>
  <c r="I101" i="1"/>
  <c r="I102" i="1"/>
  <c r="I103" i="1"/>
  <c r="I88" i="1"/>
  <c r="I89" i="1"/>
  <c r="I90" i="1"/>
  <c r="I91" i="1"/>
  <c r="I92" i="1"/>
  <c r="I93" i="1"/>
  <c r="I94" i="1"/>
  <c r="I95" i="1"/>
  <c r="I80" i="1"/>
  <c r="I81" i="1"/>
  <c r="I82" i="1"/>
  <c r="I83" i="1"/>
  <c r="I84" i="1"/>
  <c r="I85" i="1"/>
  <c r="I86" i="1"/>
  <c r="I87" i="1"/>
  <c r="I72" i="1"/>
  <c r="I73" i="1"/>
  <c r="I74" i="1"/>
  <c r="I75" i="1"/>
  <c r="I76" i="1"/>
  <c r="I77" i="1"/>
  <c r="I78" i="1"/>
  <c r="I79" i="1"/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 l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51" i="1"/>
  <c r="I54" i="1"/>
  <c r="I57" i="1"/>
  <c r="I60" i="1"/>
  <c r="I63" i="1"/>
  <c r="I66" i="1"/>
  <c r="I69" i="1"/>
  <c r="I49" i="1"/>
  <c r="I52" i="1"/>
  <c r="I55" i="1"/>
  <c r="I58" i="1"/>
  <c r="I61" i="1"/>
  <c r="I64" i="1"/>
  <c r="I67" i="1"/>
  <c r="I70" i="1"/>
  <c r="I50" i="1"/>
  <c r="I53" i="1"/>
  <c r="I56" i="1"/>
  <c r="I59" i="1"/>
  <c r="I62" i="1"/>
  <c r="I65" i="1"/>
  <c r="I68" i="1"/>
  <c r="I71" i="1"/>
  <c r="B5" i="2"/>
  <c r="C5" i="2"/>
  <c r="D5" i="2" s="1"/>
  <c r="B6" i="2"/>
  <c r="C6" i="2" s="1"/>
  <c r="D6" i="2" s="1"/>
  <c r="B7" i="2"/>
  <c r="C7" i="2" s="1"/>
  <c r="D7" i="2" s="1"/>
  <c r="B3" i="2"/>
  <c r="C3" i="2" s="1"/>
  <c r="D3" i="2" s="1"/>
  <c r="B4" i="2"/>
  <c r="C4" i="2" s="1"/>
  <c r="D4" i="2" s="1"/>
  <c r="B2" i="2"/>
  <c r="C2" i="2" s="1"/>
  <c r="D2" i="2" s="1"/>
  <c r="E2" i="2" l="1"/>
</calcChain>
</file>

<file path=xl/sharedStrings.xml><?xml version="1.0" encoding="utf-8"?>
<sst xmlns="http://schemas.openxmlformats.org/spreadsheetml/2006/main" count="1330" uniqueCount="37">
  <si>
    <t>WEEK</t>
  </si>
  <si>
    <t>AREA</t>
  </si>
  <si>
    <t>Alpha_Name</t>
  </si>
  <si>
    <t>ShortCode</t>
  </si>
  <si>
    <t>Allocation</t>
  </si>
  <si>
    <t>Region</t>
  </si>
  <si>
    <t>W39</t>
  </si>
  <si>
    <t>HCM 11</t>
  </si>
  <si>
    <t>HM12</t>
  </si>
  <si>
    <t>HS2</t>
  </si>
  <si>
    <t>HSC</t>
  </si>
  <si>
    <t>HSB</t>
  </si>
  <si>
    <t>HCM 3</t>
  </si>
  <si>
    <t>P444</t>
  </si>
  <si>
    <t>P461</t>
  </si>
  <si>
    <t>P467</t>
  </si>
  <si>
    <t>HCM 4</t>
  </si>
  <si>
    <t>P449</t>
  </si>
  <si>
    <t>P468</t>
  </si>
  <si>
    <t>HCM 5</t>
  </si>
  <si>
    <t>P450</t>
  </si>
  <si>
    <t>P69</t>
  </si>
  <si>
    <t>W40</t>
  </si>
  <si>
    <t>W41</t>
  </si>
  <si>
    <t>HCM Zone 2</t>
  </si>
  <si>
    <t>Batch 1</t>
  </si>
  <si>
    <t>Batch 2</t>
  </si>
  <si>
    <t>Batch 3</t>
  </si>
  <si>
    <t>WEEK No</t>
  </si>
  <si>
    <t>W42</t>
  </si>
  <si>
    <t>W43</t>
  </si>
  <si>
    <t>W44</t>
  </si>
  <si>
    <t>TCS</t>
  </si>
  <si>
    <t>TC25</t>
  </si>
  <si>
    <t>TSS</t>
  </si>
  <si>
    <t>TS25</t>
  </si>
  <si>
    <t>BVC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</si>
</sst>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2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1" applyNumberFormat="1" applyFont="1"/>
    <xf numFmtId="0" fontId="0" fillId="0" borderId="1" xfId="0" applyBorder="1"/>
    <xf numFmtId="14" fontId="0" fillId="0" borderId="0" xfId="0" applyNumberFormat="1"/>
    <xf numFmtId="0" fontId="3" fillId="2" borderId="0" xfId="0" applyFont="1" applyFill="1"/>
  </cellXfs>
  <cellStyles count="2">
    <cellStyle name="Comma" xfId="1" builtinId="3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border outline="0">
        <top style="thin">
          <color theme="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7"/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1577D-FDC1-4B45-9043-14B5636F182B}" name="Table1" displayName="Table1" ref="A1:I263" totalsRowShown="0">
  <autoFilter ref="A1:I263" xr:uid="{2AC1577D-FDC1-4B45-9043-14B5636F182B}"/>
  <sortState xmlns:xlrd2="http://schemas.microsoft.com/office/spreadsheetml/2017/richdata2" ref="A2:I71">
    <sortCondition ref="A1:A71"/>
  </sortState>
  <tableColumns count="9">
    <tableColumn id="1" xr3:uid="{54ADC1FB-6132-4A5D-9390-15917ABB74E0}" name="WEEK"/>
    <tableColumn id="2" xr3:uid="{F72492B8-E8B7-4849-BFF0-AB443293B8FE}" name="Region"/>
    <tableColumn id="3" xr3:uid="{ACE670DE-4E29-4585-ACB5-5A8742CD8D7E}" name="AREA"/>
    <tableColumn id="4" xr3:uid="{EF88D3AE-4C5A-42FB-AC1A-E8F7CC057A55}" name="Alpha_Name"/>
    <tableColumn id="5" xr3:uid="{F8BAC2C8-E891-44E0-ABAB-54EE99B5A28A}" name="ShortCode"/>
    <tableColumn id="9" xr3:uid="{237BB302-3AC4-46F9-9C8A-76DC49C7D682}" name="Batch 1"/>
    <tableColumn id="8" xr3:uid="{7E9272DF-2204-41E1-9ED5-0FFC2194E625}" name="Batch 2"/>
    <tableColumn id="7" xr3:uid="{F6B3FC4A-52CB-4BE3-B394-37927149127B}" name="Batch 3"/>
    <tableColumn id="6" xr3:uid="{28842323-118E-430A-B868-291D1E01318B}" name="Allocation" dataDxfId="0" dataCellStyle="Comma">
      <calculatedColumnFormula>SUM(F2,G2,H2)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5C8273-6983-4947-A1B6-5F9B1A378AD9}" name="Table2" displayName="Table2" ref="A1:E7" totalsRowShown="0" headerRowDxfId="2" tableBorderDxfId="1">
  <autoFilter ref="A1:E7" xr:uid="{155C8273-6983-4947-A1B6-5F9B1A378AD9}"/>
  <tableColumns count="5">
    <tableColumn id="1" xr3:uid="{6D07320A-4B0B-46AE-8423-F3BFEEFDB52F}" name="WEEK"/>
    <tableColumn id="2" xr3:uid="{7B1D8ECE-3D42-498D-AA3E-7AFDE2881B3B}" name="WEEK No"/>
    <tableColumn id="3" xr3:uid="{26FF3982-E1A8-42F8-BCE7-B82D55D7DD81}" name="Batch 1"/>
    <tableColumn id="4" xr3:uid="{2416A126-F408-476E-AECC-3B7D6FC5F471}" name="Batch 2"/>
    <tableColumn id="5" xr3:uid="{74E070DE-88DB-4F95-86F9-A442BEDA4EDD}" name="Batch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F7A82FA-0530-47EC-A342-B60D80F56203}">
  <we:reference id="db18cc72-1a17-45df-b60e-7ffb655e8af5" version="1.0.0.4" store="EXCatalog" storeType="EXCatalog"/>
  <we:alternateReferences>
    <we:reference id="WA104381701" version="1.0.0.4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29BE-C307-4D75-9B2D-07914D6414BC}">
  <dimension ref="A1:I263"/>
  <sheetViews>
    <sheetView tabSelected="1" topLeftCell="A192" workbookViewId="0">
      <selection activeCell="M195" sqref="M195"/>
    </sheetView>
  </sheetViews>
  <sheetFormatPr defaultRowHeight="14.5" x14ac:dyDescent="0.35"/>
  <cols>
    <col min="2" max="2" width="10.453125" bestFit="1" customWidth="1"/>
    <col min="4" max="4" width="13.36328125" customWidth="1"/>
    <col min="5" max="5" width="11.6328125" customWidth="1"/>
    <col min="6" max="8" width="9.26953125" bestFit="1" customWidth="1"/>
    <col min="9" max="9" width="12.81640625" style="2" bestFit="1" customWidth="1"/>
  </cols>
  <sheetData>
    <row r="1" spans="1:9" x14ac:dyDescent="0.3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25</v>
      </c>
      <c r="G1" t="s">
        <v>26</v>
      </c>
      <c r="H1" t="s">
        <v>27</v>
      </c>
      <c r="I1" s="2" t="s">
        <v>4</v>
      </c>
    </row>
    <row r="2" spans="1:9" x14ac:dyDescent="0.35">
      <c r="A2" t="s">
        <v>6</v>
      </c>
      <c r="B2" t="s">
        <v>24</v>
      </c>
      <c r="C2" t="s">
        <v>7</v>
      </c>
      <c r="D2" t="s">
        <v>8</v>
      </c>
      <c r="E2" t="s">
        <v>9</v>
      </c>
      <c r="H2">
        <v>8112</v>
      </c>
      <c r="I2" s="2">
        <f t="shared" ref="I2:I33" si="0">SUM(F2,G2,H2)</f>
        <v>8112</v>
      </c>
    </row>
    <row r="3" spans="1:9" x14ac:dyDescent="0.35">
      <c r="A3" t="s">
        <v>6</v>
      </c>
      <c r="B3" t="s">
        <v>24</v>
      </c>
      <c r="C3" t="s">
        <v>7</v>
      </c>
      <c r="D3" t="s">
        <v>8</v>
      </c>
      <c r="E3" t="s">
        <v>10</v>
      </c>
      <c r="H3">
        <v>1300</v>
      </c>
      <c r="I3" s="2">
        <f t="shared" si="0"/>
        <v>1300</v>
      </c>
    </row>
    <row r="4" spans="1:9" x14ac:dyDescent="0.35">
      <c r="A4" t="s">
        <v>6</v>
      </c>
      <c r="B4" t="s">
        <v>24</v>
      </c>
      <c r="C4" t="s">
        <v>7</v>
      </c>
      <c r="D4" t="s">
        <v>8</v>
      </c>
      <c r="E4" t="s">
        <v>11</v>
      </c>
      <c r="H4">
        <v>0</v>
      </c>
      <c r="I4" s="2">
        <f t="shared" si="0"/>
        <v>0</v>
      </c>
    </row>
    <row r="5" spans="1:9" x14ac:dyDescent="0.35">
      <c r="A5" t="s">
        <v>6</v>
      </c>
      <c r="B5" t="s">
        <v>24</v>
      </c>
      <c r="C5" t="s">
        <v>12</v>
      </c>
      <c r="D5" t="s">
        <v>13</v>
      </c>
      <c r="E5" t="s">
        <v>9</v>
      </c>
      <c r="H5">
        <v>4563</v>
      </c>
      <c r="I5" s="2">
        <f t="shared" si="0"/>
        <v>4563</v>
      </c>
    </row>
    <row r="6" spans="1:9" x14ac:dyDescent="0.35">
      <c r="A6" t="s">
        <v>6</v>
      </c>
      <c r="B6" t="s">
        <v>24</v>
      </c>
      <c r="C6" t="s">
        <v>12</v>
      </c>
      <c r="D6" t="s">
        <v>13</v>
      </c>
      <c r="E6" t="s">
        <v>10</v>
      </c>
      <c r="H6">
        <v>1040</v>
      </c>
      <c r="I6" s="2">
        <f t="shared" si="0"/>
        <v>1040</v>
      </c>
    </row>
    <row r="7" spans="1:9" x14ac:dyDescent="0.35">
      <c r="A7" t="s">
        <v>6</v>
      </c>
      <c r="B7" t="s">
        <v>24</v>
      </c>
      <c r="C7" t="s">
        <v>12</v>
      </c>
      <c r="D7" t="s">
        <v>14</v>
      </c>
      <c r="E7" t="s">
        <v>9</v>
      </c>
      <c r="H7">
        <v>4901</v>
      </c>
      <c r="I7" s="2">
        <f t="shared" si="0"/>
        <v>4901</v>
      </c>
    </row>
    <row r="8" spans="1:9" x14ac:dyDescent="0.35">
      <c r="A8" t="s">
        <v>6</v>
      </c>
      <c r="B8" t="s">
        <v>24</v>
      </c>
      <c r="C8" t="s">
        <v>12</v>
      </c>
      <c r="D8" t="s">
        <v>14</v>
      </c>
      <c r="E8" t="s">
        <v>10</v>
      </c>
      <c r="H8">
        <v>1040</v>
      </c>
      <c r="I8" s="2">
        <f t="shared" si="0"/>
        <v>1040</v>
      </c>
    </row>
    <row r="9" spans="1:9" x14ac:dyDescent="0.35">
      <c r="A9" t="s">
        <v>6</v>
      </c>
      <c r="B9" t="s">
        <v>24</v>
      </c>
      <c r="C9" t="s">
        <v>12</v>
      </c>
      <c r="D9" t="s">
        <v>14</v>
      </c>
      <c r="E9" t="s">
        <v>11</v>
      </c>
      <c r="H9">
        <v>0</v>
      </c>
      <c r="I9" s="2">
        <f t="shared" si="0"/>
        <v>0</v>
      </c>
    </row>
    <row r="10" spans="1:9" x14ac:dyDescent="0.35">
      <c r="A10" t="s">
        <v>6</v>
      </c>
      <c r="B10" t="s">
        <v>24</v>
      </c>
      <c r="C10" t="s">
        <v>12</v>
      </c>
      <c r="D10" t="s">
        <v>15</v>
      </c>
      <c r="E10" t="s">
        <v>9</v>
      </c>
      <c r="H10">
        <v>3887</v>
      </c>
      <c r="I10" s="2">
        <f t="shared" si="0"/>
        <v>3887</v>
      </c>
    </row>
    <row r="11" spans="1:9" x14ac:dyDescent="0.35">
      <c r="A11" t="s">
        <v>6</v>
      </c>
      <c r="B11" t="s">
        <v>24</v>
      </c>
      <c r="C11" t="s">
        <v>12</v>
      </c>
      <c r="D11" t="s">
        <v>15</v>
      </c>
      <c r="E11" t="s">
        <v>10</v>
      </c>
      <c r="H11">
        <v>910</v>
      </c>
      <c r="I11" s="2">
        <f t="shared" si="0"/>
        <v>910</v>
      </c>
    </row>
    <row r="12" spans="1:9" x14ac:dyDescent="0.35">
      <c r="A12" t="s">
        <v>6</v>
      </c>
      <c r="B12" t="s">
        <v>24</v>
      </c>
      <c r="C12" t="s">
        <v>16</v>
      </c>
      <c r="D12" t="s">
        <v>17</v>
      </c>
      <c r="E12" t="s">
        <v>9</v>
      </c>
      <c r="H12">
        <v>6084</v>
      </c>
      <c r="I12" s="2">
        <f t="shared" si="0"/>
        <v>6084</v>
      </c>
    </row>
    <row r="13" spans="1:9" x14ac:dyDescent="0.35">
      <c r="A13" t="s">
        <v>6</v>
      </c>
      <c r="B13" t="s">
        <v>24</v>
      </c>
      <c r="C13" t="s">
        <v>16</v>
      </c>
      <c r="D13" t="s">
        <v>17</v>
      </c>
      <c r="E13" t="s">
        <v>10</v>
      </c>
      <c r="H13">
        <v>1430</v>
      </c>
      <c r="I13" s="2">
        <f t="shared" si="0"/>
        <v>1430</v>
      </c>
    </row>
    <row r="14" spans="1:9" x14ac:dyDescent="0.35">
      <c r="A14" t="s">
        <v>6</v>
      </c>
      <c r="B14" t="s">
        <v>24</v>
      </c>
      <c r="C14" t="s">
        <v>16</v>
      </c>
      <c r="D14" t="s">
        <v>17</v>
      </c>
      <c r="E14" t="s">
        <v>11</v>
      </c>
      <c r="H14">
        <v>0</v>
      </c>
      <c r="I14" s="2">
        <f t="shared" si="0"/>
        <v>0</v>
      </c>
    </row>
    <row r="15" spans="1:9" x14ac:dyDescent="0.35">
      <c r="A15" t="s">
        <v>6</v>
      </c>
      <c r="B15" t="s">
        <v>24</v>
      </c>
      <c r="C15" t="s">
        <v>16</v>
      </c>
      <c r="D15" t="s">
        <v>18</v>
      </c>
      <c r="E15" t="s">
        <v>9</v>
      </c>
      <c r="H15">
        <v>3380</v>
      </c>
      <c r="I15" s="2">
        <f t="shared" si="0"/>
        <v>3380</v>
      </c>
    </row>
    <row r="16" spans="1:9" x14ac:dyDescent="0.35">
      <c r="A16" t="s">
        <v>6</v>
      </c>
      <c r="B16" t="s">
        <v>24</v>
      </c>
      <c r="C16" t="s">
        <v>16</v>
      </c>
      <c r="D16" t="s">
        <v>18</v>
      </c>
      <c r="E16" t="s">
        <v>10</v>
      </c>
      <c r="H16">
        <v>611</v>
      </c>
      <c r="I16" s="2">
        <f t="shared" si="0"/>
        <v>611</v>
      </c>
    </row>
    <row r="17" spans="1:9" x14ac:dyDescent="0.35">
      <c r="A17" t="s">
        <v>6</v>
      </c>
      <c r="B17" t="s">
        <v>24</v>
      </c>
      <c r="C17" t="s">
        <v>16</v>
      </c>
      <c r="D17" t="s">
        <v>18</v>
      </c>
      <c r="E17" t="s">
        <v>11</v>
      </c>
      <c r="H17">
        <v>0</v>
      </c>
      <c r="I17" s="2">
        <f t="shared" si="0"/>
        <v>0</v>
      </c>
    </row>
    <row r="18" spans="1:9" x14ac:dyDescent="0.35">
      <c r="A18" t="s">
        <v>6</v>
      </c>
      <c r="B18" t="s">
        <v>24</v>
      </c>
      <c r="C18" t="s">
        <v>19</v>
      </c>
      <c r="D18" t="s">
        <v>20</v>
      </c>
      <c r="E18" t="s">
        <v>9</v>
      </c>
      <c r="H18">
        <v>4056</v>
      </c>
      <c r="I18" s="2">
        <f t="shared" si="0"/>
        <v>4056</v>
      </c>
    </row>
    <row r="19" spans="1:9" x14ac:dyDescent="0.35">
      <c r="A19" t="s">
        <v>6</v>
      </c>
      <c r="B19" t="s">
        <v>24</v>
      </c>
      <c r="C19" t="s">
        <v>19</v>
      </c>
      <c r="D19" t="s">
        <v>20</v>
      </c>
      <c r="E19" t="s">
        <v>10</v>
      </c>
      <c r="H19">
        <v>1300</v>
      </c>
      <c r="I19" s="2">
        <f t="shared" si="0"/>
        <v>1300</v>
      </c>
    </row>
    <row r="20" spans="1:9" x14ac:dyDescent="0.35">
      <c r="A20" t="s">
        <v>6</v>
      </c>
      <c r="B20" t="s">
        <v>24</v>
      </c>
      <c r="C20" t="s">
        <v>19</v>
      </c>
      <c r="D20" t="s">
        <v>20</v>
      </c>
      <c r="E20" t="s">
        <v>11</v>
      </c>
      <c r="H20">
        <v>0</v>
      </c>
      <c r="I20" s="2">
        <f t="shared" si="0"/>
        <v>0</v>
      </c>
    </row>
    <row r="21" spans="1:9" x14ac:dyDescent="0.35">
      <c r="A21" t="s">
        <v>6</v>
      </c>
      <c r="B21" t="s">
        <v>24</v>
      </c>
      <c r="C21" t="s">
        <v>19</v>
      </c>
      <c r="D21" t="s">
        <v>21</v>
      </c>
      <c r="E21" t="s">
        <v>9</v>
      </c>
      <c r="H21">
        <v>4563</v>
      </c>
      <c r="I21" s="2">
        <f t="shared" si="0"/>
        <v>4563</v>
      </c>
    </row>
    <row r="22" spans="1:9" x14ac:dyDescent="0.35">
      <c r="A22" t="s">
        <v>6</v>
      </c>
      <c r="B22" t="s">
        <v>24</v>
      </c>
      <c r="C22" t="s">
        <v>19</v>
      </c>
      <c r="D22" t="s">
        <v>21</v>
      </c>
      <c r="E22" t="s">
        <v>10</v>
      </c>
      <c r="H22">
        <v>1560</v>
      </c>
      <c r="I22" s="2">
        <f t="shared" si="0"/>
        <v>1560</v>
      </c>
    </row>
    <row r="23" spans="1:9" x14ac:dyDescent="0.35">
      <c r="A23" t="s">
        <v>6</v>
      </c>
      <c r="B23" t="s">
        <v>24</v>
      </c>
      <c r="C23" t="s">
        <v>19</v>
      </c>
      <c r="D23" t="s">
        <v>21</v>
      </c>
      <c r="E23" t="s">
        <v>11</v>
      </c>
      <c r="H23">
        <v>0</v>
      </c>
      <c r="I23" s="2">
        <f t="shared" si="0"/>
        <v>0</v>
      </c>
    </row>
    <row r="24" spans="1:9" x14ac:dyDescent="0.35">
      <c r="A24" t="s">
        <v>22</v>
      </c>
      <c r="B24" t="s">
        <v>24</v>
      </c>
      <c r="C24" t="s">
        <v>7</v>
      </c>
      <c r="D24" t="s">
        <v>8</v>
      </c>
      <c r="E24" t="s">
        <v>9</v>
      </c>
      <c r="F24">
        <v>15717</v>
      </c>
      <c r="G24">
        <v>8957</v>
      </c>
      <c r="I24" s="2">
        <f t="shared" si="0"/>
        <v>24674</v>
      </c>
    </row>
    <row r="25" spans="1:9" x14ac:dyDescent="0.35">
      <c r="A25" t="s">
        <v>22</v>
      </c>
      <c r="B25" t="s">
        <v>24</v>
      </c>
      <c r="C25" t="s">
        <v>7</v>
      </c>
      <c r="D25" t="s">
        <v>8</v>
      </c>
      <c r="E25" t="s">
        <v>10</v>
      </c>
      <c r="F25">
        <v>1690</v>
      </c>
      <c r="G25">
        <v>780</v>
      </c>
      <c r="I25" s="2">
        <f t="shared" si="0"/>
        <v>2470</v>
      </c>
    </row>
    <row r="26" spans="1:9" x14ac:dyDescent="0.35">
      <c r="A26" t="s">
        <v>22</v>
      </c>
      <c r="B26" t="s">
        <v>24</v>
      </c>
      <c r="C26" t="s">
        <v>7</v>
      </c>
      <c r="D26" t="s">
        <v>8</v>
      </c>
      <c r="E26" t="s">
        <v>11</v>
      </c>
      <c r="F26">
        <v>70</v>
      </c>
      <c r="G26">
        <v>0</v>
      </c>
      <c r="I26" s="2">
        <f t="shared" si="0"/>
        <v>70</v>
      </c>
    </row>
    <row r="27" spans="1:9" x14ac:dyDescent="0.35">
      <c r="A27" t="s">
        <v>22</v>
      </c>
      <c r="B27" t="s">
        <v>24</v>
      </c>
      <c r="C27" t="s">
        <v>12</v>
      </c>
      <c r="D27" t="s">
        <v>13</v>
      </c>
      <c r="E27" t="s">
        <v>9</v>
      </c>
      <c r="F27">
        <v>9295</v>
      </c>
      <c r="G27">
        <v>4901</v>
      </c>
      <c r="I27" s="2">
        <f t="shared" si="0"/>
        <v>14196</v>
      </c>
    </row>
    <row r="28" spans="1:9" x14ac:dyDescent="0.35">
      <c r="A28" t="s">
        <v>22</v>
      </c>
      <c r="B28" t="s">
        <v>24</v>
      </c>
      <c r="C28" t="s">
        <v>12</v>
      </c>
      <c r="D28" t="s">
        <v>13</v>
      </c>
      <c r="E28" t="s">
        <v>10</v>
      </c>
      <c r="F28">
        <v>1430</v>
      </c>
      <c r="G28">
        <v>520</v>
      </c>
      <c r="I28" s="2">
        <f t="shared" si="0"/>
        <v>1950</v>
      </c>
    </row>
    <row r="29" spans="1:9" x14ac:dyDescent="0.35">
      <c r="A29" t="s">
        <v>22</v>
      </c>
      <c r="B29" t="s">
        <v>24</v>
      </c>
      <c r="C29" t="s">
        <v>12</v>
      </c>
      <c r="D29" t="s">
        <v>13</v>
      </c>
      <c r="E29" t="s">
        <v>11</v>
      </c>
      <c r="F29">
        <v>70</v>
      </c>
      <c r="G29">
        <v>0</v>
      </c>
      <c r="I29" s="2">
        <f t="shared" si="0"/>
        <v>70</v>
      </c>
    </row>
    <row r="30" spans="1:9" x14ac:dyDescent="0.35">
      <c r="A30" t="s">
        <v>22</v>
      </c>
      <c r="B30" t="s">
        <v>24</v>
      </c>
      <c r="C30" t="s">
        <v>12</v>
      </c>
      <c r="D30" t="s">
        <v>14</v>
      </c>
      <c r="E30" t="s">
        <v>9</v>
      </c>
      <c r="F30">
        <v>9633</v>
      </c>
      <c r="G30">
        <v>5239</v>
      </c>
      <c r="I30" s="2">
        <f t="shared" si="0"/>
        <v>14872</v>
      </c>
    </row>
    <row r="31" spans="1:9" x14ac:dyDescent="0.35">
      <c r="A31" t="s">
        <v>22</v>
      </c>
      <c r="B31" t="s">
        <v>24</v>
      </c>
      <c r="C31" t="s">
        <v>12</v>
      </c>
      <c r="D31" t="s">
        <v>14</v>
      </c>
      <c r="E31" t="s">
        <v>10</v>
      </c>
      <c r="F31">
        <v>1430</v>
      </c>
      <c r="G31">
        <v>650</v>
      </c>
      <c r="I31" s="2">
        <f t="shared" si="0"/>
        <v>2080</v>
      </c>
    </row>
    <row r="32" spans="1:9" x14ac:dyDescent="0.35">
      <c r="A32" t="s">
        <v>22</v>
      </c>
      <c r="B32" t="s">
        <v>24</v>
      </c>
      <c r="C32" t="s">
        <v>12</v>
      </c>
      <c r="D32" t="s">
        <v>14</v>
      </c>
      <c r="E32" t="s">
        <v>11</v>
      </c>
      <c r="F32">
        <v>70</v>
      </c>
      <c r="G32">
        <v>0</v>
      </c>
      <c r="I32" s="2">
        <f t="shared" si="0"/>
        <v>70</v>
      </c>
    </row>
    <row r="33" spans="1:9" x14ac:dyDescent="0.35">
      <c r="A33" t="s">
        <v>22</v>
      </c>
      <c r="B33" t="s">
        <v>24</v>
      </c>
      <c r="C33" t="s">
        <v>12</v>
      </c>
      <c r="D33" t="s">
        <v>15</v>
      </c>
      <c r="E33" t="s">
        <v>9</v>
      </c>
      <c r="F33">
        <v>7774</v>
      </c>
      <c r="G33">
        <v>4225</v>
      </c>
      <c r="I33" s="2">
        <f t="shared" si="0"/>
        <v>11999</v>
      </c>
    </row>
    <row r="34" spans="1:9" x14ac:dyDescent="0.35">
      <c r="A34" t="s">
        <v>22</v>
      </c>
      <c r="B34" t="s">
        <v>24</v>
      </c>
      <c r="C34" t="s">
        <v>12</v>
      </c>
      <c r="D34" t="s">
        <v>15</v>
      </c>
      <c r="E34" t="s">
        <v>10</v>
      </c>
      <c r="F34">
        <v>1170</v>
      </c>
      <c r="G34">
        <v>533</v>
      </c>
      <c r="I34" s="2">
        <f t="shared" ref="I34:I65" si="1">SUM(F34,G34,H34)</f>
        <v>1703</v>
      </c>
    </row>
    <row r="35" spans="1:9" x14ac:dyDescent="0.35">
      <c r="A35" t="s">
        <v>22</v>
      </c>
      <c r="B35" t="s">
        <v>24</v>
      </c>
      <c r="C35" t="s">
        <v>12</v>
      </c>
      <c r="D35" t="s">
        <v>15</v>
      </c>
      <c r="E35" t="s">
        <v>11</v>
      </c>
      <c r="F35">
        <v>40</v>
      </c>
      <c r="G35">
        <v>0</v>
      </c>
      <c r="I35" s="2">
        <f t="shared" si="1"/>
        <v>40</v>
      </c>
    </row>
    <row r="36" spans="1:9" x14ac:dyDescent="0.35">
      <c r="A36" t="s">
        <v>22</v>
      </c>
      <c r="B36" t="s">
        <v>24</v>
      </c>
      <c r="C36" t="s">
        <v>16</v>
      </c>
      <c r="D36" t="s">
        <v>17</v>
      </c>
      <c r="E36" t="s">
        <v>9</v>
      </c>
      <c r="F36">
        <v>11999</v>
      </c>
      <c r="G36">
        <v>6422</v>
      </c>
      <c r="I36" s="2">
        <f t="shared" si="1"/>
        <v>18421</v>
      </c>
    </row>
    <row r="37" spans="1:9" x14ac:dyDescent="0.35">
      <c r="A37" t="s">
        <v>22</v>
      </c>
      <c r="B37" t="s">
        <v>24</v>
      </c>
      <c r="C37" t="s">
        <v>16</v>
      </c>
      <c r="D37" t="s">
        <v>17</v>
      </c>
      <c r="E37" t="s">
        <v>10</v>
      </c>
      <c r="F37">
        <v>1950</v>
      </c>
      <c r="G37">
        <v>780</v>
      </c>
      <c r="I37" s="2">
        <f t="shared" si="1"/>
        <v>2730</v>
      </c>
    </row>
    <row r="38" spans="1:9" x14ac:dyDescent="0.35">
      <c r="A38" t="s">
        <v>22</v>
      </c>
      <c r="B38" t="s">
        <v>24</v>
      </c>
      <c r="C38" t="s">
        <v>16</v>
      </c>
      <c r="D38" t="s">
        <v>17</v>
      </c>
      <c r="E38" t="s">
        <v>11</v>
      </c>
      <c r="F38">
        <v>70</v>
      </c>
      <c r="G38">
        <v>0</v>
      </c>
      <c r="I38" s="2">
        <f t="shared" si="1"/>
        <v>70</v>
      </c>
    </row>
    <row r="39" spans="1:9" x14ac:dyDescent="0.35">
      <c r="A39" t="s">
        <v>22</v>
      </c>
      <c r="B39" t="s">
        <v>24</v>
      </c>
      <c r="C39" t="s">
        <v>16</v>
      </c>
      <c r="D39" t="s">
        <v>18</v>
      </c>
      <c r="E39" t="s">
        <v>9</v>
      </c>
      <c r="F39">
        <v>6760</v>
      </c>
      <c r="G39">
        <v>3549</v>
      </c>
      <c r="I39" s="2">
        <f t="shared" si="1"/>
        <v>10309</v>
      </c>
    </row>
    <row r="40" spans="1:9" x14ac:dyDescent="0.35">
      <c r="A40" t="s">
        <v>22</v>
      </c>
      <c r="B40" t="s">
        <v>24</v>
      </c>
      <c r="C40" t="s">
        <v>16</v>
      </c>
      <c r="D40" t="s">
        <v>18</v>
      </c>
      <c r="E40" t="s">
        <v>10</v>
      </c>
      <c r="F40">
        <v>780</v>
      </c>
      <c r="G40">
        <v>390</v>
      </c>
      <c r="I40" s="2">
        <f t="shared" si="1"/>
        <v>1170</v>
      </c>
    </row>
    <row r="41" spans="1:9" x14ac:dyDescent="0.35">
      <c r="A41" t="s">
        <v>22</v>
      </c>
      <c r="B41" t="s">
        <v>24</v>
      </c>
      <c r="C41" t="s">
        <v>16</v>
      </c>
      <c r="D41" t="s">
        <v>18</v>
      </c>
      <c r="E41" t="s">
        <v>11</v>
      </c>
      <c r="F41">
        <v>70</v>
      </c>
      <c r="G41">
        <v>0</v>
      </c>
      <c r="I41" s="2">
        <f t="shared" si="1"/>
        <v>70</v>
      </c>
    </row>
    <row r="42" spans="1:9" x14ac:dyDescent="0.35">
      <c r="A42" t="s">
        <v>22</v>
      </c>
      <c r="B42" t="s">
        <v>24</v>
      </c>
      <c r="C42" t="s">
        <v>19</v>
      </c>
      <c r="D42" t="s">
        <v>20</v>
      </c>
      <c r="E42" t="s">
        <v>9</v>
      </c>
      <c r="F42">
        <v>8281</v>
      </c>
      <c r="G42">
        <v>4394</v>
      </c>
      <c r="I42" s="2">
        <f t="shared" si="1"/>
        <v>12675</v>
      </c>
    </row>
    <row r="43" spans="1:9" x14ac:dyDescent="0.35">
      <c r="A43" t="s">
        <v>22</v>
      </c>
      <c r="B43" t="s">
        <v>24</v>
      </c>
      <c r="C43" t="s">
        <v>19</v>
      </c>
      <c r="D43" t="s">
        <v>20</v>
      </c>
      <c r="E43" t="s">
        <v>10</v>
      </c>
      <c r="F43">
        <v>1820</v>
      </c>
      <c r="G43">
        <v>780</v>
      </c>
      <c r="I43" s="2">
        <f t="shared" si="1"/>
        <v>2600</v>
      </c>
    </row>
    <row r="44" spans="1:9" x14ac:dyDescent="0.35">
      <c r="A44" t="s">
        <v>22</v>
      </c>
      <c r="B44" t="s">
        <v>24</v>
      </c>
      <c r="C44" t="s">
        <v>19</v>
      </c>
      <c r="D44" t="s">
        <v>20</v>
      </c>
      <c r="E44" t="s">
        <v>11</v>
      </c>
      <c r="F44">
        <v>70</v>
      </c>
      <c r="G44">
        <v>0</v>
      </c>
      <c r="I44" s="2">
        <f t="shared" si="1"/>
        <v>70</v>
      </c>
    </row>
    <row r="45" spans="1:9" x14ac:dyDescent="0.35">
      <c r="A45" t="s">
        <v>22</v>
      </c>
      <c r="B45" t="s">
        <v>24</v>
      </c>
      <c r="C45" t="s">
        <v>19</v>
      </c>
      <c r="D45" t="s">
        <v>21</v>
      </c>
      <c r="E45" t="s">
        <v>9</v>
      </c>
      <c r="F45">
        <v>8957</v>
      </c>
      <c r="G45">
        <v>4732</v>
      </c>
      <c r="I45" s="2">
        <f t="shared" si="1"/>
        <v>13689</v>
      </c>
    </row>
    <row r="46" spans="1:9" x14ac:dyDescent="0.35">
      <c r="A46" t="s">
        <v>22</v>
      </c>
      <c r="B46" t="s">
        <v>24</v>
      </c>
      <c r="C46" t="s">
        <v>19</v>
      </c>
      <c r="D46" t="s">
        <v>21</v>
      </c>
      <c r="E46" t="s">
        <v>10</v>
      </c>
      <c r="F46">
        <v>2080</v>
      </c>
      <c r="G46">
        <v>910</v>
      </c>
      <c r="I46" s="2">
        <f t="shared" si="1"/>
        <v>2990</v>
      </c>
    </row>
    <row r="47" spans="1:9" x14ac:dyDescent="0.35">
      <c r="A47" t="s">
        <v>22</v>
      </c>
      <c r="B47" t="s">
        <v>24</v>
      </c>
      <c r="C47" t="s">
        <v>19</v>
      </c>
      <c r="D47" t="s">
        <v>21</v>
      </c>
      <c r="E47" t="s">
        <v>11</v>
      </c>
      <c r="F47">
        <v>70</v>
      </c>
      <c r="G47">
        <v>0</v>
      </c>
      <c r="I47" s="2">
        <f t="shared" si="1"/>
        <v>70</v>
      </c>
    </row>
    <row r="48" spans="1:9" x14ac:dyDescent="0.35">
      <c r="A48" t="s">
        <v>23</v>
      </c>
      <c r="B48" t="s">
        <v>24</v>
      </c>
      <c r="C48" t="s">
        <v>7</v>
      </c>
      <c r="D48" t="s">
        <v>8</v>
      </c>
      <c r="E48" s="1" t="s">
        <v>9</v>
      </c>
      <c r="F48" s="1">
        <v>21294</v>
      </c>
      <c r="G48" s="1">
        <v>5395</v>
      </c>
      <c r="H48" s="1"/>
      <c r="I48" s="2">
        <f t="shared" si="1"/>
        <v>26689</v>
      </c>
    </row>
    <row r="49" spans="1:9" x14ac:dyDescent="0.35">
      <c r="A49" t="s">
        <v>23</v>
      </c>
      <c r="B49" t="s">
        <v>24</v>
      </c>
      <c r="C49" t="s">
        <v>7</v>
      </c>
      <c r="D49" t="s">
        <v>8</v>
      </c>
      <c r="E49" s="1" t="s">
        <v>10</v>
      </c>
      <c r="F49" s="1">
        <v>2340</v>
      </c>
      <c r="G49" s="1">
        <v>0</v>
      </c>
      <c r="H49" s="1"/>
      <c r="I49" s="2">
        <f t="shared" si="1"/>
        <v>2340</v>
      </c>
    </row>
    <row r="50" spans="1:9" x14ac:dyDescent="0.35">
      <c r="A50" t="s">
        <v>23</v>
      </c>
      <c r="B50" t="s">
        <v>24</v>
      </c>
      <c r="C50" t="s">
        <v>7</v>
      </c>
      <c r="D50" t="s">
        <v>8</v>
      </c>
      <c r="E50" t="s">
        <v>11</v>
      </c>
      <c r="F50">
        <v>40</v>
      </c>
      <c r="G50" s="1">
        <v>0</v>
      </c>
      <c r="I50" s="2">
        <f t="shared" si="1"/>
        <v>40</v>
      </c>
    </row>
    <row r="51" spans="1:9" x14ac:dyDescent="0.35">
      <c r="A51" t="s">
        <v>23</v>
      </c>
      <c r="B51" t="s">
        <v>24</v>
      </c>
      <c r="C51" t="s">
        <v>12</v>
      </c>
      <c r="D51" t="s">
        <v>13</v>
      </c>
      <c r="E51" s="1" t="s">
        <v>9</v>
      </c>
      <c r="F51" s="1">
        <v>12675</v>
      </c>
      <c r="G51" s="1">
        <v>3211</v>
      </c>
      <c r="H51" s="1"/>
      <c r="I51" s="2">
        <f t="shared" si="1"/>
        <v>15886</v>
      </c>
    </row>
    <row r="52" spans="1:9" x14ac:dyDescent="0.35">
      <c r="A52" t="s">
        <v>23</v>
      </c>
      <c r="B52" t="s">
        <v>24</v>
      </c>
      <c r="C52" t="s">
        <v>12</v>
      </c>
      <c r="D52" t="s">
        <v>13</v>
      </c>
      <c r="E52" s="1" t="s">
        <v>10</v>
      </c>
      <c r="F52" s="1">
        <v>1820</v>
      </c>
      <c r="G52" s="1">
        <v>0</v>
      </c>
      <c r="H52" s="1"/>
      <c r="I52" s="2">
        <f t="shared" si="1"/>
        <v>1820</v>
      </c>
    </row>
    <row r="53" spans="1:9" x14ac:dyDescent="0.35">
      <c r="A53" t="s">
        <v>23</v>
      </c>
      <c r="B53" t="s">
        <v>24</v>
      </c>
      <c r="C53" t="s">
        <v>12</v>
      </c>
      <c r="D53" t="s">
        <v>13</v>
      </c>
      <c r="E53" t="s">
        <v>11</v>
      </c>
      <c r="F53">
        <v>140</v>
      </c>
      <c r="G53" s="1">
        <v>0</v>
      </c>
      <c r="I53" s="2">
        <f t="shared" si="1"/>
        <v>140</v>
      </c>
    </row>
    <row r="54" spans="1:9" x14ac:dyDescent="0.35">
      <c r="A54" t="s">
        <v>23</v>
      </c>
      <c r="B54" t="s">
        <v>24</v>
      </c>
      <c r="C54" t="s">
        <v>12</v>
      </c>
      <c r="D54" t="s">
        <v>14</v>
      </c>
      <c r="E54" s="1" t="s">
        <v>9</v>
      </c>
      <c r="F54" s="1">
        <v>16224</v>
      </c>
      <c r="G54" s="1">
        <v>4056</v>
      </c>
      <c r="H54" s="1"/>
      <c r="I54" s="2">
        <f t="shared" si="1"/>
        <v>20280</v>
      </c>
    </row>
    <row r="55" spans="1:9" x14ac:dyDescent="0.35">
      <c r="A55" t="s">
        <v>23</v>
      </c>
      <c r="B55" t="s">
        <v>24</v>
      </c>
      <c r="C55" t="s">
        <v>12</v>
      </c>
      <c r="D55" t="s">
        <v>14</v>
      </c>
      <c r="E55" s="1" t="s">
        <v>10</v>
      </c>
      <c r="F55" s="1">
        <v>2210</v>
      </c>
      <c r="G55" s="1">
        <v>0</v>
      </c>
      <c r="H55" s="1"/>
      <c r="I55" s="2">
        <f t="shared" si="1"/>
        <v>2210</v>
      </c>
    </row>
    <row r="56" spans="1:9" x14ac:dyDescent="0.35">
      <c r="A56" t="s">
        <v>23</v>
      </c>
      <c r="B56" t="s">
        <v>24</v>
      </c>
      <c r="C56" t="s">
        <v>12</v>
      </c>
      <c r="D56" t="s">
        <v>14</v>
      </c>
      <c r="E56" t="s">
        <v>11</v>
      </c>
      <c r="F56">
        <v>70</v>
      </c>
      <c r="G56" s="1">
        <v>0</v>
      </c>
      <c r="I56" s="2">
        <f t="shared" si="1"/>
        <v>70</v>
      </c>
    </row>
    <row r="57" spans="1:9" x14ac:dyDescent="0.35">
      <c r="A57" t="s">
        <v>23</v>
      </c>
      <c r="B57" t="s">
        <v>24</v>
      </c>
      <c r="C57" t="s">
        <v>12</v>
      </c>
      <c r="D57" t="s">
        <v>15</v>
      </c>
      <c r="E57" s="1" t="s">
        <v>9</v>
      </c>
      <c r="F57" s="1">
        <v>12506</v>
      </c>
      <c r="G57" s="1">
        <v>3042</v>
      </c>
      <c r="H57" s="1"/>
      <c r="I57" s="2">
        <f t="shared" si="1"/>
        <v>15548</v>
      </c>
    </row>
    <row r="58" spans="1:9" x14ac:dyDescent="0.35">
      <c r="A58" t="s">
        <v>23</v>
      </c>
      <c r="B58" t="s">
        <v>24</v>
      </c>
      <c r="C58" t="s">
        <v>12</v>
      </c>
      <c r="D58" t="s">
        <v>15</v>
      </c>
      <c r="E58" s="1" t="s">
        <v>10</v>
      </c>
      <c r="F58" s="1">
        <v>1820</v>
      </c>
      <c r="G58" s="1">
        <v>0</v>
      </c>
      <c r="H58" s="1"/>
      <c r="I58" s="2">
        <f t="shared" si="1"/>
        <v>1820</v>
      </c>
    </row>
    <row r="59" spans="1:9" x14ac:dyDescent="0.35">
      <c r="A59" t="s">
        <v>23</v>
      </c>
      <c r="B59" t="s">
        <v>24</v>
      </c>
      <c r="C59" t="s">
        <v>12</v>
      </c>
      <c r="D59" t="s">
        <v>15</v>
      </c>
      <c r="E59" t="s">
        <v>11</v>
      </c>
      <c r="F59">
        <v>70</v>
      </c>
      <c r="G59" s="1">
        <v>0</v>
      </c>
      <c r="I59" s="2">
        <f t="shared" si="1"/>
        <v>70</v>
      </c>
    </row>
    <row r="60" spans="1:9" x14ac:dyDescent="0.35">
      <c r="A60" t="s">
        <v>23</v>
      </c>
      <c r="B60" t="s">
        <v>24</v>
      </c>
      <c r="C60" t="s">
        <v>16</v>
      </c>
      <c r="D60" t="s">
        <v>17</v>
      </c>
      <c r="E60" s="1" t="s">
        <v>9</v>
      </c>
      <c r="F60" s="1">
        <v>18590</v>
      </c>
      <c r="G60" s="1">
        <v>4732</v>
      </c>
      <c r="H60" s="1"/>
      <c r="I60" s="2">
        <f t="shared" si="1"/>
        <v>23322</v>
      </c>
    </row>
    <row r="61" spans="1:9" x14ac:dyDescent="0.35">
      <c r="A61" t="s">
        <v>23</v>
      </c>
      <c r="B61" t="s">
        <v>24</v>
      </c>
      <c r="C61" t="s">
        <v>16</v>
      </c>
      <c r="D61" t="s">
        <v>17</v>
      </c>
      <c r="E61" s="1" t="s">
        <v>10</v>
      </c>
      <c r="F61" s="1">
        <v>4030</v>
      </c>
      <c r="G61" s="1">
        <v>0</v>
      </c>
      <c r="H61" s="1"/>
      <c r="I61" s="2">
        <f t="shared" si="1"/>
        <v>4030</v>
      </c>
    </row>
    <row r="62" spans="1:9" x14ac:dyDescent="0.35">
      <c r="A62" t="s">
        <v>23</v>
      </c>
      <c r="B62" t="s">
        <v>24</v>
      </c>
      <c r="C62" t="s">
        <v>16</v>
      </c>
      <c r="D62" t="s">
        <v>17</v>
      </c>
      <c r="E62" t="s">
        <v>11</v>
      </c>
      <c r="F62">
        <v>210</v>
      </c>
      <c r="G62" s="1">
        <v>0</v>
      </c>
      <c r="I62" s="2">
        <f t="shared" si="1"/>
        <v>210</v>
      </c>
    </row>
    <row r="63" spans="1:9" x14ac:dyDescent="0.35">
      <c r="A63" t="s">
        <v>23</v>
      </c>
      <c r="B63" t="s">
        <v>24</v>
      </c>
      <c r="C63" t="s">
        <v>16</v>
      </c>
      <c r="D63" t="s">
        <v>18</v>
      </c>
      <c r="E63" s="1" t="s">
        <v>9</v>
      </c>
      <c r="F63" s="1">
        <v>11999</v>
      </c>
      <c r="G63" s="1">
        <v>3042</v>
      </c>
      <c r="H63" s="1"/>
      <c r="I63" s="2">
        <f t="shared" si="1"/>
        <v>15041</v>
      </c>
    </row>
    <row r="64" spans="1:9" x14ac:dyDescent="0.35">
      <c r="A64" t="s">
        <v>23</v>
      </c>
      <c r="B64" t="s">
        <v>24</v>
      </c>
      <c r="C64" t="s">
        <v>16</v>
      </c>
      <c r="D64" t="s">
        <v>18</v>
      </c>
      <c r="E64" s="1" t="s">
        <v>10</v>
      </c>
      <c r="F64" s="1">
        <v>1430</v>
      </c>
      <c r="G64" s="1">
        <v>0</v>
      </c>
      <c r="H64" s="1"/>
      <c r="I64" s="2">
        <f t="shared" si="1"/>
        <v>1430</v>
      </c>
    </row>
    <row r="65" spans="1:9" x14ac:dyDescent="0.35">
      <c r="A65" t="s">
        <v>23</v>
      </c>
      <c r="B65" t="s">
        <v>24</v>
      </c>
      <c r="C65" t="s">
        <v>16</v>
      </c>
      <c r="D65" t="s">
        <v>18</v>
      </c>
      <c r="E65" t="s">
        <v>11</v>
      </c>
      <c r="F65">
        <v>70</v>
      </c>
      <c r="G65" s="1">
        <v>0</v>
      </c>
      <c r="I65" s="2">
        <f t="shared" si="1"/>
        <v>70</v>
      </c>
    </row>
    <row r="66" spans="1:9" x14ac:dyDescent="0.35">
      <c r="A66" t="s">
        <v>23</v>
      </c>
      <c r="B66" t="s">
        <v>24</v>
      </c>
      <c r="C66" t="s">
        <v>19</v>
      </c>
      <c r="D66" t="s">
        <v>20</v>
      </c>
      <c r="E66" s="1" t="s">
        <v>9</v>
      </c>
      <c r="F66" s="1">
        <v>12844</v>
      </c>
      <c r="G66" s="1">
        <v>3211</v>
      </c>
      <c r="H66" s="1"/>
      <c r="I66" s="2">
        <f t="shared" ref="I66:I71" si="2">SUM(F66,G66,H66)</f>
        <v>16055</v>
      </c>
    </row>
    <row r="67" spans="1:9" x14ac:dyDescent="0.35">
      <c r="A67" t="s">
        <v>23</v>
      </c>
      <c r="B67" t="s">
        <v>24</v>
      </c>
      <c r="C67" t="s">
        <v>19</v>
      </c>
      <c r="D67" t="s">
        <v>20</v>
      </c>
      <c r="E67" s="1" t="s">
        <v>10</v>
      </c>
      <c r="F67" s="1">
        <v>2990</v>
      </c>
      <c r="G67" s="1">
        <v>0</v>
      </c>
      <c r="H67" s="1"/>
      <c r="I67" s="2">
        <f t="shared" si="2"/>
        <v>2990</v>
      </c>
    </row>
    <row r="68" spans="1:9" x14ac:dyDescent="0.35">
      <c r="A68" t="s">
        <v>23</v>
      </c>
      <c r="B68" t="s">
        <v>24</v>
      </c>
      <c r="C68" t="s">
        <v>19</v>
      </c>
      <c r="D68" t="s">
        <v>20</v>
      </c>
      <c r="E68" t="s">
        <v>11</v>
      </c>
      <c r="F68">
        <v>140</v>
      </c>
      <c r="G68" s="1">
        <v>0</v>
      </c>
      <c r="I68" s="2">
        <f t="shared" si="2"/>
        <v>140</v>
      </c>
    </row>
    <row r="69" spans="1:9" x14ac:dyDescent="0.35">
      <c r="A69" t="s">
        <v>23</v>
      </c>
      <c r="B69" t="s">
        <v>24</v>
      </c>
      <c r="C69" t="s">
        <v>19</v>
      </c>
      <c r="D69" t="s">
        <v>21</v>
      </c>
      <c r="E69" s="1" t="s">
        <v>9</v>
      </c>
      <c r="F69" s="1">
        <v>13858</v>
      </c>
      <c r="G69" s="1">
        <v>3380</v>
      </c>
      <c r="H69" s="1"/>
      <c r="I69" s="2">
        <f t="shared" si="2"/>
        <v>17238</v>
      </c>
    </row>
    <row r="70" spans="1:9" x14ac:dyDescent="0.35">
      <c r="A70" t="s">
        <v>23</v>
      </c>
      <c r="B70" t="s">
        <v>24</v>
      </c>
      <c r="C70" t="s">
        <v>19</v>
      </c>
      <c r="D70" t="s">
        <v>21</v>
      </c>
      <c r="E70" s="1" t="s">
        <v>10</v>
      </c>
      <c r="F70" s="1">
        <v>3120</v>
      </c>
      <c r="G70" s="1">
        <v>0</v>
      </c>
      <c r="H70" s="1"/>
      <c r="I70" s="2">
        <f t="shared" si="2"/>
        <v>3120</v>
      </c>
    </row>
    <row r="71" spans="1:9" x14ac:dyDescent="0.35">
      <c r="A71" t="s">
        <v>23</v>
      </c>
      <c r="B71" t="s">
        <v>24</v>
      </c>
      <c r="C71" t="s">
        <v>19</v>
      </c>
      <c r="D71" t="s">
        <v>21</v>
      </c>
      <c r="E71" t="s">
        <v>11</v>
      </c>
      <c r="F71">
        <v>70</v>
      </c>
      <c r="G71" s="1">
        <v>0</v>
      </c>
      <c r="I71" s="2">
        <f t="shared" si="2"/>
        <v>70</v>
      </c>
    </row>
    <row r="72" spans="1:9" x14ac:dyDescent="0.35">
      <c r="A72" t="s">
        <v>29</v>
      </c>
      <c r="B72" t="s">
        <v>24</v>
      </c>
      <c r="C72" t="s">
        <v>7</v>
      </c>
      <c r="D72" t="s">
        <v>8</v>
      </c>
      <c r="E72" t="s">
        <v>9</v>
      </c>
      <c r="F72">
        <v>20787</v>
      </c>
      <c r="G72">
        <v>5360</v>
      </c>
      <c r="I72" s="2">
        <f t="shared" ref="I72:I79" si="3">SUM(F72,G72,H72)</f>
        <v>26147</v>
      </c>
    </row>
    <row r="73" spans="1:9" x14ac:dyDescent="0.35">
      <c r="A73" t="s">
        <v>29</v>
      </c>
      <c r="B73" t="s">
        <v>24</v>
      </c>
      <c r="C73" t="s">
        <v>12</v>
      </c>
      <c r="D73" t="s">
        <v>13</v>
      </c>
      <c r="E73" t="s">
        <v>9</v>
      </c>
      <c r="F73">
        <v>11492</v>
      </c>
      <c r="G73">
        <v>2873</v>
      </c>
      <c r="I73" s="2">
        <f t="shared" si="3"/>
        <v>14365</v>
      </c>
    </row>
    <row r="74" spans="1:9" x14ac:dyDescent="0.35">
      <c r="A74" t="s">
        <v>29</v>
      </c>
      <c r="B74" t="s">
        <v>24</v>
      </c>
      <c r="C74" t="s">
        <v>12</v>
      </c>
      <c r="D74" t="s">
        <v>14</v>
      </c>
      <c r="E74" t="s">
        <v>9</v>
      </c>
      <c r="F74">
        <v>15717</v>
      </c>
      <c r="G74">
        <v>3887</v>
      </c>
      <c r="I74" s="2">
        <f t="shared" si="3"/>
        <v>19604</v>
      </c>
    </row>
    <row r="75" spans="1:9" x14ac:dyDescent="0.35">
      <c r="A75" t="s">
        <v>29</v>
      </c>
      <c r="B75" t="s">
        <v>24</v>
      </c>
      <c r="C75" t="s">
        <v>12</v>
      </c>
      <c r="D75" t="s">
        <v>15</v>
      </c>
      <c r="E75" t="s">
        <v>9</v>
      </c>
      <c r="F75">
        <v>11830</v>
      </c>
      <c r="G75">
        <v>3042</v>
      </c>
      <c r="I75" s="2">
        <f t="shared" si="3"/>
        <v>14872</v>
      </c>
    </row>
    <row r="76" spans="1:9" x14ac:dyDescent="0.35">
      <c r="A76" t="s">
        <v>29</v>
      </c>
      <c r="B76" t="s">
        <v>24</v>
      </c>
      <c r="C76" t="s">
        <v>16</v>
      </c>
      <c r="D76" t="s">
        <v>17</v>
      </c>
      <c r="E76" t="s">
        <v>9</v>
      </c>
      <c r="F76">
        <v>18083</v>
      </c>
      <c r="G76">
        <v>4563</v>
      </c>
      <c r="I76" s="2">
        <f t="shared" si="3"/>
        <v>22646</v>
      </c>
    </row>
    <row r="77" spans="1:9" x14ac:dyDescent="0.35">
      <c r="A77" t="s">
        <v>29</v>
      </c>
      <c r="B77" t="s">
        <v>24</v>
      </c>
      <c r="C77" t="s">
        <v>16</v>
      </c>
      <c r="D77" t="s">
        <v>18</v>
      </c>
      <c r="E77" t="s">
        <v>9</v>
      </c>
      <c r="F77">
        <v>11661</v>
      </c>
      <c r="G77">
        <v>2873</v>
      </c>
      <c r="I77" s="2">
        <f t="shared" si="3"/>
        <v>14534</v>
      </c>
    </row>
    <row r="78" spans="1:9" x14ac:dyDescent="0.35">
      <c r="A78" t="s">
        <v>29</v>
      </c>
      <c r="B78" t="s">
        <v>24</v>
      </c>
      <c r="C78" t="s">
        <v>19</v>
      </c>
      <c r="D78" t="s">
        <v>20</v>
      </c>
      <c r="E78" t="s">
        <v>9</v>
      </c>
      <c r="F78">
        <v>12337</v>
      </c>
      <c r="G78">
        <v>3042</v>
      </c>
      <c r="I78" s="2">
        <f t="shared" si="3"/>
        <v>15379</v>
      </c>
    </row>
    <row r="79" spans="1:9" x14ac:dyDescent="0.35">
      <c r="A79" t="s">
        <v>29</v>
      </c>
      <c r="B79" t="s">
        <v>24</v>
      </c>
      <c r="C79" t="s">
        <v>19</v>
      </c>
      <c r="D79" t="s">
        <v>21</v>
      </c>
      <c r="E79" t="s">
        <v>9</v>
      </c>
      <c r="F79">
        <v>13351</v>
      </c>
      <c r="G79">
        <v>3380</v>
      </c>
      <c r="I79" s="2">
        <f t="shared" si="3"/>
        <v>16731</v>
      </c>
    </row>
    <row r="80" spans="1:9" x14ac:dyDescent="0.35">
      <c r="A80" t="s">
        <v>29</v>
      </c>
      <c r="B80" t="s">
        <v>24</v>
      </c>
      <c r="C80" t="s">
        <v>7</v>
      </c>
      <c r="D80" t="s">
        <v>8</v>
      </c>
      <c r="E80" t="s">
        <v>10</v>
      </c>
      <c r="F80">
        <v>3211</v>
      </c>
      <c r="G80">
        <v>0</v>
      </c>
      <c r="I80" s="2">
        <f t="shared" ref="I80:I87" si="4">SUM(F80,G80,H80)</f>
        <v>3211</v>
      </c>
    </row>
    <row r="81" spans="1:9" x14ac:dyDescent="0.35">
      <c r="A81" t="s">
        <v>29</v>
      </c>
      <c r="B81" t="s">
        <v>24</v>
      </c>
      <c r="C81" t="s">
        <v>12</v>
      </c>
      <c r="D81" t="s">
        <v>13</v>
      </c>
      <c r="E81" t="s">
        <v>10</v>
      </c>
      <c r="F81">
        <v>2210</v>
      </c>
      <c r="G81">
        <v>0</v>
      </c>
      <c r="I81" s="2">
        <f t="shared" si="4"/>
        <v>2210</v>
      </c>
    </row>
    <row r="82" spans="1:9" x14ac:dyDescent="0.35">
      <c r="A82" t="s">
        <v>29</v>
      </c>
      <c r="B82" t="s">
        <v>24</v>
      </c>
      <c r="C82" t="s">
        <v>12</v>
      </c>
      <c r="D82" t="s">
        <v>14</v>
      </c>
      <c r="E82" t="s">
        <v>10</v>
      </c>
      <c r="F82">
        <v>3770</v>
      </c>
      <c r="G82">
        <v>0</v>
      </c>
      <c r="I82" s="2">
        <f t="shared" si="4"/>
        <v>3770</v>
      </c>
    </row>
    <row r="83" spans="1:9" x14ac:dyDescent="0.35">
      <c r="A83" t="s">
        <v>29</v>
      </c>
      <c r="B83" t="s">
        <v>24</v>
      </c>
      <c r="C83" t="s">
        <v>12</v>
      </c>
      <c r="D83" t="s">
        <v>15</v>
      </c>
      <c r="E83" t="s">
        <v>10</v>
      </c>
      <c r="F83">
        <v>2340</v>
      </c>
      <c r="G83">
        <v>0</v>
      </c>
      <c r="I83" s="2">
        <f t="shared" si="4"/>
        <v>2340</v>
      </c>
    </row>
    <row r="84" spans="1:9" x14ac:dyDescent="0.35">
      <c r="A84" t="s">
        <v>29</v>
      </c>
      <c r="B84" t="s">
        <v>24</v>
      </c>
      <c r="C84" t="s">
        <v>16</v>
      </c>
      <c r="D84" t="s">
        <v>17</v>
      </c>
      <c r="E84" t="s">
        <v>10</v>
      </c>
      <c r="F84">
        <v>5070</v>
      </c>
      <c r="G84">
        <v>0</v>
      </c>
      <c r="I84" s="2">
        <f t="shared" si="4"/>
        <v>5070</v>
      </c>
    </row>
    <row r="85" spans="1:9" x14ac:dyDescent="0.35">
      <c r="A85" t="s">
        <v>29</v>
      </c>
      <c r="B85" t="s">
        <v>24</v>
      </c>
      <c r="C85" t="s">
        <v>16</v>
      </c>
      <c r="D85" t="s">
        <v>18</v>
      </c>
      <c r="E85" t="s">
        <v>10</v>
      </c>
      <c r="F85">
        <v>1690</v>
      </c>
      <c r="G85">
        <v>0</v>
      </c>
      <c r="I85" s="2">
        <f t="shared" si="4"/>
        <v>1690</v>
      </c>
    </row>
    <row r="86" spans="1:9" x14ac:dyDescent="0.35">
      <c r="A86" t="s">
        <v>29</v>
      </c>
      <c r="B86" t="s">
        <v>24</v>
      </c>
      <c r="C86" t="s">
        <v>19</v>
      </c>
      <c r="D86" t="s">
        <v>20</v>
      </c>
      <c r="E86" t="s">
        <v>10</v>
      </c>
      <c r="F86">
        <v>3900</v>
      </c>
      <c r="G86">
        <v>0</v>
      </c>
      <c r="I86" s="2">
        <f t="shared" si="4"/>
        <v>3900</v>
      </c>
    </row>
    <row r="87" spans="1:9" x14ac:dyDescent="0.35">
      <c r="A87" t="s">
        <v>29</v>
      </c>
      <c r="B87" t="s">
        <v>24</v>
      </c>
      <c r="C87" t="s">
        <v>19</v>
      </c>
      <c r="D87" t="s">
        <v>21</v>
      </c>
      <c r="E87" t="s">
        <v>10</v>
      </c>
      <c r="F87">
        <v>3640</v>
      </c>
      <c r="G87">
        <v>0</v>
      </c>
      <c r="I87" s="2">
        <f t="shared" si="4"/>
        <v>3640</v>
      </c>
    </row>
    <row r="88" spans="1:9" x14ac:dyDescent="0.35">
      <c r="A88" t="s">
        <v>29</v>
      </c>
      <c r="B88" t="s">
        <v>24</v>
      </c>
      <c r="C88" t="s">
        <v>7</v>
      </c>
      <c r="D88" t="s">
        <v>8</v>
      </c>
      <c r="E88" t="s">
        <v>11</v>
      </c>
      <c r="F88">
        <v>80</v>
      </c>
      <c r="G88">
        <v>0</v>
      </c>
      <c r="I88" s="2">
        <f t="shared" ref="I88:I95" si="5">SUM(F88,G88,H88)</f>
        <v>80</v>
      </c>
    </row>
    <row r="89" spans="1:9" x14ac:dyDescent="0.35">
      <c r="A89" t="s">
        <v>29</v>
      </c>
      <c r="B89" t="s">
        <v>24</v>
      </c>
      <c r="C89" t="s">
        <v>12</v>
      </c>
      <c r="D89" t="s">
        <v>13</v>
      </c>
      <c r="E89" t="s">
        <v>11</v>
      </c>
      <c r="F89">
        <v>140</v>
      </c>
      <c r="G89">
        <v>0</v>
      </c>
      <c r="I89" s="2">
        <f t="shared" si="5"/>
        <v>140</v>
      </c>
    </row>
    <row r="90" spans="1:9" x14ac:dyDescent="0.35">
      <c r="A90" t="s">
        <v>29</v>
      </c>
      <c r="B90" t="s">
        <v>24</v>
      </c>
      <c r="C90" t="s">
        <v>12</v>
      </c>
      <c r="D90" t="s">
        <v>14</v>
      </c>
      <c r="E90" t="s">
        <v>11</v>
      </c>
      <c r="F90">
        <v>0</v>
      </c>
      <c r="G90">
        <v>0</v>
      </c>
      <c r="I90" s="2">
        <f t="shared" si="5"/>
        <v>0</v>
      </c>
    </row>
    <row r="91" spans="1:9" x14ac:dyDescent="0.35">
      <c r="A91" t="s">
        <v>29</v>
      </c>
      <c r="B91" t="s">
        <v>24</v>
      </c>
      <c r="C91" t="s">
        <v>12</v>
      </c>
      <c r="D91" t="s">
        <v>15</v>
      </c>
      <c r="E91" t="s">
        <v>11</v>
      </c>
      <c r="F91">
        <v>70</v>
      </c>
      <c r="G91">
        <v>0</v>
      </c>
      <c r="I91" s="2">
        <f t="shared" si="5"/>
        <v>70</v>
      </c>
    </row>
    <row r="92" spans="1:9" x14ac:dyDescent="0.35">
      <c r="A92" t="s">
        <v>29</v>
      </c>
      <c r="B92" t="s">
        <v>24</v>
      </c>
      <c r="C92" t="s">
        <v>16</v>
      </c>
      <c r="D92" t="s">
        <v>17</v>
      </c>
      <c r="E92" t="s">
        <v>11</v>
      </c>
      <c r="F92">
        <v>210</v>
      </c>
      <c r="G92">
        <v>0</v>
      </c>
      <c r="I92" s="2">
        <f t="shared" si="5"/>
        <v>210</v>
      </c>
    </row>
    <row r="93" spans="1:9" x14ac:dyDescent="0.35">
      <c r="A93" t="s">
        <v>29</v>
      </c>
      <c r="B93" t="s">
        <v>24</v>
      </c>
      <c r="C93" t="s">
        <v>16</v>
      </c>
      <c r="D93" t="s">
        <v>18</v>
      </c>
      <c r="E93" t="s">
        <v>11</v>
      </c>
      <c r="F93">
        <v>0</v>
      </c>
      <c r="G93">
        <v>0</v>
      </c>
      <c r="I93" s="2">
        <f t="shared" si="5"/>
        <v>0</v>
      </c>
    </row>
    <row r="94" spans="1:9" x14ac:dyDescent="0.35">
      <c r="A94" t="s">
        <v>29</v>
      </c>
      <c r="B94" t="s">
        <v>24</v>
      </c>
      <c r="C94" t="s">
        <v>19</v>
      </c>
      <c r="D94" t="s">
        <v>20</v>
      </c>
      <c r="E94" t="s">
        <v>11</v>
      </c>
      <c r="F94">
        <v>210</v>
      </c>
      <c r="G94">
        <v>0</v>
      </c>
      <c r="I94" s="2">
        <f t="shared" si="5"/>
        <v>210</v>
      </c>
    </row>
    <row r="95" spans="1:9" x14ac:dyDescent="0.35">
      <c r="A95" t="s">
        <v>29</v>
      </c>
      <c r="B95" t="s">
        <v>24</v>
      </c>
      <c r="C95" t="s">
        <v>19</v>
      </c>
      <c r="D95" t="s">
        <v>21</v>
      </c>
      <c r="E95" t="s">
        <v>11</v>
      </c>
      <c r="F95">
        <v>70</v>
      </c>
      <c r="G95">
        <v>0</v>
      </c>
      <c r="I95" s="2">
        <f t="shared" si="5"/>
        <v>70</v>
      </c>
    </row>
    <row r="96" spans="1:9" x14ac:dyDescent="0.35">
      <c r="A96" t="s">
        <v>29</v>
      </c>
      <c r="B96" t="s">
        <v>24</v>
      </c>
      <c r="C96" t="s">
        <v>7</v>
      </c>
      <c r="D96" t="s">
        <v>8</v>
      </c>
      <c r="E96" t="s">
        <v>32</v>
      </c>
      <c r="F96">
        <v>8840</v>
      </c>
      <c r="G96">
        <v>1196</v>
      </c>
      <c r="I96" s="2">
        <f t="shared" ref="I96:I103" si="6">SUM(F96,G96,H96)</f>
        <v>10036</v>
      </c>
    </row>
    <row r="97" spans="1:9" x14ac:dyDescent="0.35">
      <c r="A97" t="s">
        <v>29</v>
      </c>
      <c r="B97" t="s">
        <v>24</v>
      </c>
      <c r="C97" t="s">
        <v>12</v>
      </c>
      <c r="D97" t="s">
        <v>13</v>
      </c>
      <c r="E97" t="s">
        <v>32</v>
      </c>
      <c r="F97">
        <v>2600</v>
      </c>
      <c r="G97">
        <v>390</v>
      </c>
      <c r="I97" s="2">
        <f t="shared" si="6"/>
        <v>2990</v>
      </c>
    </row>
    <row r="98" spans="1:9" x14ac:dyDescent="0.35">
      <c r="A98" t="s">
        <v>29</v>
      </c>
      <c r="B98" t="s">
        <v>24</v>
      </c>
      <c r="C98" t="s">
        <v>12</v>
      </c>
      <c r="D98" t="s">
        <v>14</v>
      </c>
      <c r="E98" t="s">
        <v>32</v>
      </c>
      <c r="F98">
        <v>4290</v>
      </c>
      <c r="G98">
        <v>650</v>
      </c>
      <c r="I98" s="2">
        <f t="shared" si="6"/>
        <v>4940</v>
      </c>
    </row>
    <row r="99" spans="1:9" x14ac:dyDescent="0.35">
      <c r="A99" t="s">
        <v>29</v>
      </c>
      <c r="B99" t="s">
        <v>24</v>
      </c>
      <c r="C99" t="s">
        <v>12</v>
      </c>
      <c r="D99" t="s">
        <v>15</v>
      </c>
      <c r="E99" t="s">
        <v>32</v>
      </c>
      <c r="F99">
        <v>2340</v>
      </c>
      <c r="G99">
        <v>390</v>
      </c>
      <c r="I99" s="2">
        <f t="shared" si="6"/>
        <v>2730</v>
      </c>
    </row>
    <row r="100" spans="1:9" x14ac:dyDescent="0.35">
      <c r="A100" t="s">
        <v>29</v>
      </c>
      <c r="B100" t="s">
        <v>24</v>
      </c>
      <c r="C100" t="s">
        <v>16</v>
      </c>
      <c r="D100" t="s">
        <v>17</v>
      </c>
      <c r="E100" t="s">
        <v>32</v>
      </c>
      <c r="F100">
        <v>4940</v>
      </c>
      <c r="G100">
        <v>650</v>
      </c>
      <c r="I100" s="2">
        <f t="shared" si="6"/>
        <v>5590</v>
      </c>
    </row>
    <row r="101" spans="1:9" x14ac:dyDescent="0.35">
      <c r="A101" t="s">
        <v>29</v>
      </c>
      <c r="B101" t="s">
        <v>24</v>
      </c>
      <c r="C101" t="s">
        <v>16</v>
      </c>
      <c r="D101" t="s">
        <v>18</v>
      </c>
      <c r="E101" t="s">
        <v>32</v>
      </c>
      <c r="F101">
        <v>3380</v>
      </c>
      <c r="G101">
        <v>390</v>
      </c>
      <c r="I101" s="2">
        <f t="shared" si="6"/>
        <v>3770</v>
      </c>
    </row>
    <row r="102" spans="1:9" x14ac:dyDescent="0.35">
      <c r="A102" t="s">
        <v>29</v>
      </c>
      <c r="B102" t="s">
        <v>24</v>
      </c>
      <c r="C102" t="s">
        <v>19</v>
      </c>
      <c r="D102" t="s">
        <v>20</v>
      </c>
      <c r="E102" t="s">
        <v>32</v>
      </c>
      <c r="F102">
        <v>4680</v>
      </c>
      <c r="G102">
        <v>650</v>
      </c>
      <c r="I102" s="2">
        <f t="shared" si="6"/>
        <v>5330</v>
      </c>
    </row>
    <row r="103" spans="1:9" x14ac:dyDescent="0.35">
      <c r="A103" t="s">
        <v>29</v>
      </c>
      <c r="B103" t="s">
        <v>24</v>
      </c>
      <c r="C103" t="s">
        <v>19</v>
      </c>
      <c r="D103" t="s">
        <v>21</v>
      </c>
      <c r="E103" t="s">
        <v>32</v>
      </c>
      <c r="F103">
        <v>5330</v>
      </c>
      <c r="G103">
        <v>780</v>
      </c>
      <c r="I103" s="2">
        <f t="shared" si="6"/>
        <v>6110</v>
      </c>
    </row>
    <row r="104" spans="1:9" x14ac:dyDescent="0.35">
      <c r="A104" t="s">
        <v>29</v>
      </c>
      <c r="B104" t="s">
        <v>24</v>
      </c>
      <c r="C104" t="s">
        <v>7</v>
      </c>
      <c r="D104" t="s">
        <v>8</v>
      </c>
      <c r="E104" t="s">
        <v>33</v>
      </c>
      <c r="F104">
        <v>1352</v>
      </c>
      <c r="G104">
        <v>0</v>
      </c>
      <c r="I104" s="2">
        <f t="shared" ref="I104:I167" si="7">SUM(F104,G104,H104)</f>
        <v>1352</v>
      </c>
    </row>
    <row r="105" spans="1:9" x14ac:dyDescent="0.35">
      <c r="A105" t="s">
        <v>29</v>
      </c>
      <c r="B105" t="s">
        <v>24</v>
      </c>
      <c r="C105" t="s">
        <v>12</v>
      </c>
      <c r="D105" t="s">
        <v>13</v>
      </c>
      <c r="E105" t="s">
        <v>33</v>
      </c>
      <c r="F105">
        <v>676</v>
      </c>
      <c r="G105">
        <v>0</v>
      </c>
      <c r="I105" s="2">
        <f t="shared" si="7"/>
        <v>676</v>
      </c>
    </row>
    <row r="106" spans="1:9" x14ac:dyDescent="0.35">
      <c r="A106" t="s">
        <v>29</v>
      </c>
      <c r="B106" t="s">
        <v>24</v>
      </c>
      <c r="C106" t="s">
        <v>12</v>
      </c>
      <c r="D106" t="s">
        <v>14</v>
      </c>
      <c r="E106" t="s">
        <v>33</v>
      </c>
      <c r="F106">
        <v>0</v>
      </c>
      <c r="G106">
        <v>0</v>
      </c>
      <c r="I106" s="2">
        <f t="shared" si="7"/>
        <v>0</v>
      </c>
    </row>
    <row r="107" spans="1:9" x14ac:dyDescent="0.35">
      <c r="A107" t="s">
        <v>29</v>
      </c>
      <c r="B107" t="s">
        <v>24</v>
      </c>
      <c r="C107" t="s">
        <v>12</v>
      </c>
      <c r="D107" t="s">
        <v>15</v>
      </c>
      <c r="E107" t="s">
        <v>33</v>
      </c>
      <c r="F107">
        <v>845</v>
      </c>
      <c r="G107">
        <v>0</v>
      </c>
      <c r="I107" s="2">
        <f t="shared" si="7"/>
        <v>845</v>
      </c>
    </row>
    <row r="108" spans="1:9" x14ac:dyDescent="0.35">
      <c r="A108" t="s">
        <v>29</v>
      </c>
      <c r="B108" t="s">
        <v>24</v>
      </c>
      <c r="C108" t="s">
        <v>16</v>
      </c>
      <c r="D108" t="s">
        <v>17</v>
      </c>
      <c r="E108" t="s">
        <v>33</v>
      </c>
      <c r="F108">
        <v>1183</v>
      </c>
      <c r="G108">
        <v>0</v>
      </c>
      <c r="I108" s="2">
        <f t="shared" si="7"/>
        <v>1183</v>
      </c>
    </row>
    <row r="109" spans="1:9" x14ac:dyDescent="0.35">
      <c r="A109" t="s">
        <v>29</v>
      </c>
      <c r="B109" t="s">
        <v>24</v>
      </c>
      <c r="C109" t="s">
        <v>16</v>
      </c>
      <c r="D109" t="s">
        <v>18</v>
      </c>
      <c r="E109" t="s">
        <v>33</v>
      </c>
      <c r="F109">
        <v>676</v>
      </c>
      <c r="G109">
        <v>0</v>
      </c>
      <c r="I109" s="2">
        <f t="shared" si="7"/>
        <v>676</v>
      </c>
    </row>
    <row r="110" spans="1:9" x14ac:dyDescent="0.35">
      <c r="A110" t="s">
        <v>29</v>
      </c>
      <c r="B110" t="s">
        <v>24</v>
      </c>
      <c r="C110" t="s">
        <v>19</v>
      </c>
      <c r="D110" t="s">
        <v>20</v>
      </c>
      <c r="E110" t="s">
        <v>33</v>
      </c>
      <c r="F110">
        <v>338</v>
      </c>
      <c r="G110">
        <v>0</v>
      </c>
      <c r="I110" s="2">
        <f t="shared" si="7"/>
        <v>338</v>
      </c>
    </row>
    <row r="111" spans="1:9" x14ac:dyDescent="0.35">
      <c r="A111" t="s">
        <v>29</v>
      </c>
      <c r="B111" t="s">
        <v>24</v>
      </c>
      <c r="C111" t="s">
        <v>19</v>
      </c>
      <c r="D111" t="s">
        <v>21</v>
      </c>
      <c r="E111" t="s">
        <v>33</v>
      </c>
      <c r="F111">
        <v>676</v>
      </c>
      <c r="G111">
        <v>0</v>
      </c>
      <c r="I111" s="2">
        <f t="shared" si="7"/>
        <v>676</v>
      </c>
    </row>
    <row r="112" spans="1:9" x14ac:dyDescent="0.35">
      <c r="A112" t="s">
        <v>29</v>
      </c>
      <c r="B112" t="s">
        <v>24</v>
      </c>
      <c r="C112" t="s">
        <v>7</v>
      </c>
      <c r="D112" t="s">
        <v>8</v>
      </c>
      <c r="E112" t="s">
        <v>34</v>
      </c>
      <c r="F112">
        <v>3250</v>
      </c>
      <c r="G112">
        <v>624</v>
      </c>
      <c r="I112" s="2">
        <f t="shared" si="7"/>
        <v>3874</v>
      </c>
    </row>
    <row r="113" spans="1:9" x14ac:dyDescent="0.35">
      <c r="A113" t="s">
        <v>29</v>
      </c>
      <c r="B113" t="s">
        <v>24</v>
      </c>
      <c r="C113" t="s">
        <v>12</v>
      </c>
      <c r="D113" t="s">
        <v>13</v>
      </c>
      <c r="E113" t="s">
        <v>34</v>
      </c>
      <c r="F113">
        <v>3640</v>
      </c>
      <c r="G113">
        <v>520</v>
      </c>
      <c r="I113" s="2">
        <f t="shared" si="7"/>
        <v>4160</v>
      </c>
    </row>
    <row r="114" spans="1:9" x14ac:dyDescent="0.35">
      <c r="A114" t="s">
        <v>29</v>
      </c>
      <c r="B114" t="s">
        <v>24</v>
      </c>
      <c r="C114" t="s">
        <v>12</v>
      </c>
      <c r="D114" t="s">
        <v>14</v>
      </c>
      <c r="E114" t="s">
        <v>34</v>
      </c>
      <c r="F114">
        <v>3640</v>
      </c>
      <c r="G114">
        <v>650</v>
      </c>
      <c r="I114" s="2">
        <f t="shared" si="7"/>
        <v>4290</v>
      </c>
    </row>
    <row r="115" spans="1:9" x14ac:dyDescent="0.35">
      <c r="A115" t="s">
        <v>29</v>
      </c>
      <c r="B115" t="s">
        <v>24</v>
      </c>
      <c r="C115" t="s">
        <v>12</v>
      </c>
      <c r="D115" t="s">
        <v>15</v>
      </c>
      <c r="E115" t="s">
        <v>34</v>
      </c>
      <c r="F115">
        <v>2730</v>
      </c>
      <c r="G115">
        <v>520</v>
      </c>
      <c r="I115" s="2">
        <f t="shared" si="7"/>
        <v>3250</v>
      </c>
    </row>
    <row r="116" spans="1:9" x14ac:dyDescent="0.35">
      <c r="A116" t="s">
        <v>29</v>
      </c>
      <c r="B116" t="s">
        <v>24</v>
      </c>
      <c r="C116" t="s">
        <v>16</v>
      </c>
      <c r="D116" t="s">
        <v>17</v>
      </c>
      <c r="E116" t="s">
        <v>34</v>
      </c>
      <c r="F116">
        <v>5460</v>
      </c>
      <c r="G116">
        <v>910</v>
      </c>
      <c r="I116" s="2">
        <f t="shared" si="7"/>
        <v>6370</v>
      </c>
    </row>
    <row r="117" spans="1:9" x14ac:dyDescent="0.35">
      <c r="A117" t="s">
        <v>29</v>
      </c>
      <c r="B117" t="s">
        <v>24</v>
      </c>
      <c r="C117" t="s">
        <v>16</v>
      </c>
      <c r="D117" t="s">
        <v>18</v>
      </c>
      <c r="E117" t="s">
        <v>34</v>
      </c>
      <c r="F117">
        <v>2990</v>
      </c>
      <c r="G117">
        <v>520</v>
      </c>
      <c r="I117" s="2">
        <f t="shared" si="7"/>
        <v>3510</v>
      </c>
    </row>
    <row r="118" spans="1:9" x14ac:dyDescent="0.35">
      <c r="A118" t="s">
        <v>29</v>
      </c>
      <c r="B118" t="s">
        <v>24</v>
      </c>
      <c r="C118" t="s">
        <v>19</v>
      </c>
      <c r="D118" t="s">
        <v>20</v>
      </c>
      <c r="E118" t="s">
        <v>34</v>
      </c>
      <c r="F118">
        <v>4290</v>
      </c>
      <c r="G118">
        <v>650</v>
      </c>
      <c r="I118" s="2">
        <f t="shared" si="7"/>
        <v>4940</v>
      </c>
    </row>
    <row r="119" spans="1:9" x14ac:dyDescent="0.35">
      <c r="A119" t="s">
        <v>29</v>
      </c>
      <c r="B119" t="s">
        <v>24</v>
      </c>
      <c r="C119" t="s">
        <v>19</v>
      </c>
      <c r="D119" t="s">
        <v>21</v>
      </c>
      <c r="E119" t="s">
        <v>34</v>
      </c>
      <c r="F119">
        <v>6110</v>
      </c>
      <c r="G119">
        <v>1040</v>
      </c>
      <c r="I119" s="2">
        <f t="shared" si="7"/>
        <v>7150</v>
      </c>
    </row>
    <row r="120" spans="1:9" x14ac:dyDescent="0.35">
      <c r="A120" t="s">
        <v>29</v>
      </c>
      <c r="B120" t="s">
        <v>24</v>
      </c>
      <c r="C120" t="s">
        <v>7</v>
      </c>
      <c r="D120" t="s">
        <v>8</v>
      </c>
      <c r="E120" t="s">
        <v>35</v>
      </c>
      <c r="F120">
        <v>8957</v>
      </c>
      <c r="G120">
        <v>1261</v>
      </c>
      <c r="I120" s="2">
        <f t="shared" si="7"/>
        <v>10218</v>
      </c>
    </row>
    <row r="121" spans="1:9" x14ac:dyDescent="0.35">
      <c r="A121" t="s">
        <v>29</v>
      </c>
      <c r="B121" t="s">
        <v>24</v>
      </c>
      <c r="C121" t="s">
        <v>12</v>
      </c>
      <c r="D121" t="s">
        <v>13</v>
      </c>
      <c r="E121" t="s">
        <v>35</v>
      </c>
      <c r="F121">
        <v>7267</v>
      </c>
      <c r="G121">
        <v>1014</v>
      </c>
      <c r="I121" s="2">
        <f t="shared" si="7"/>
        <v>8281</v>
      </c>
    </row>
    <row r="122" spans="1:9" x14ac:dyDescent="0.35">
      <c r="A122" t="s">
        <v>29</v>
      </c>
      <c r="B122" t="s">
        <v>24</v>
      </c>
      <c r="C122" t="s">
        <v>12</v>
      </c>
      <c r="D122" t="s">
        <v>14</v>
      </c>
      <c r="E122" t="s">
        <v>35</v>
      </c>
      <c r="F122">
        <v>6253</v>
      </c>
      <c r="G122">
        <v>845</v>
      </c>
      <c r="I122" s="2">
        <f t="shared" si="7"/>
        <v>7098</v>
      </c>
    </row>
    <row r="123" spans="1:9" x14ac:dyDescent="0.35">
      <c r="A123" t="s">
        <v>29</v>
      </c>
      <c r="B123" t="s">
        <v>24</v>
      </c>
      <c r="C123" t="s">
        <v>12</v>
      </c>
      <c r="D123" t="s">
        <v>15</v>
      </c>
      <c r="E123" t="s">
        <v>35</v>
      </c>
      <c r="F123">
        <v>7098</v>
      </c>
      <c r="G123">
        <v>845</v>
      </c>
      <c r="I123" s="2">
        <f t="shared" si="7"/>
        <v>7943</v>
      </c>
    </row>
    <row r="124" spans="1:9" x14ac:dyDescent="0.35">
      <c r="A124" t="s">
        <v>29</v>
      </c>
      <c r="B124" t="s">
        <v>24</v>
      </c>
      <c r="C124" t="s">
        <v>16</v>
      </c>
      <c r="D124" t="s">
        <v>17</v>
      </c>
      <c r="E124" t="s">
        <v>35</v>
      </c>
      <c r="F124">
        <v>9126</v>
      </c>
      <c r="G124">
        <v>1183</v>
      </c>
      <c r="I124" s="2">
        <f t="shared" si="7"/>
        <v>10309</v>
      </c>
    </row>
    <row r="125" spans="1:9" x14ac:dyDescent="0.35">
      <c r="A125" t="s">
        <v>29</v>
      </c>
      <c r="B125" t="s">
        <v>24</v>
      </c>
      <c r="C125" t="s">
        <v>16</v>
      </c>
      <c r="D125" t="s">
        <v>18</v>
      </c>
      <c r="E125" t="s">
        <v>35</v>
      </c>
      <c r="F125">
        <v>5746</v>
      </c>
      <c r="G125">
        <v>676</v>
      </c>
      <c r="I125" s="2">
        <f t="shared" si="7"/>
        <v>6422</v>
      </c>
    </row>
    <row r="126" spans="1:9" x14ac:dyDescent="0.35">
      <c r="A126" t="s">
        <v>29</v>
      </c>
      <c r="B126" t="s">
        <v>24</v>
      </c>
      <c r="C126" t="s">
        <v>19</v>
      </c>
      <c r="D126" t="s">
        <v>20</v>
      </c>
      <c r="E126" t="s">
        <v>35</v>
      </c>
      <c r="F126">
        <v>7098</v>
      </c>
      <c r="G126">
        <v>845</v>
      </c>
      <c r="I126" s="2">
        <f t="shared" si="7"/>
        <v>7943</v>
      </c>
    </row>
    <row r="127" spans="1:9" x14ac:dyDescent="0.35">
      <c r="A127" t="s">
        <v>29</v>
      </c>
      <c r="B127" t="s">
        <v>24</v>
      </c>
      <c r="C127" t="s">
        <v>19</v>
      </c>
      <c r="D127" t="s">
        <v>21</v>
      </c>
      <c r="E127" t="s">
        <v>35</v>
      </c>
      <c r="F127">
        <v>5746</v>
      </c>
      <c r="G127">
        <v>845</v>
      </c>
      <c r="I127" s="2">
        <f t="shared" si="7"/>
        <v>6591</v>
      </c>
    </row>
    <row r="128" spans="1:9" x14ac:dyDescent="0.35">
      <c r="A128" t="s">
        <v>29</v>
      </c>
      <c r="B128" t="s">
        <v>24</v>
      </c>
      <c r="C128" t="s">
        <v>7</v>
      </c>
      <c r="D128" t="s">
        <v>8</v>
      </c>
      <c r="E128" t="s">
        <v>36</v>
      </c>
      <c r="F128">
        <v>1280</v>
      </c>
      <c r="G128">
        <v>0</v>
      </c>
      <c r="I128" s="2">
        <f t="shared" si="7"/>
        <v>1280</v>
      </c>
    </row>
    <row r="129" spans="1:9" x14ac:dyDescent="0.35">
      <c r="A129" t="s">
        <v>29</v>
      </c>
      <c r="B129" t="s">
        <v>24</v>
      </c>
      <c r="C129" t="s">
        <v>12</v>
      </c>
      <c r="D129" t="s">
        <v>13</v>
      </c>
      <c r="E129" t="s">
        <v>36</v>
      </c>
      <c r="F129">
        <v>650</v>
      </c>
      <c r="G129">
        <v>0</v>
      </c>
      <c r="I129" s="2">
        <f t="shared" si="7"/>
        <v>650</v>
      </c>
    </row>
    <row r="130" spans="1:9" x14ac:dyDescent="0.35">
      <c r="A130" t="s">
        <v>29</v>
      </c>
      <c r="B130" t="s">
        <v>24</v>
      </c>
      <c r="C130" t="s">
        <v>12</v>
      </c>
      <c r="D130" t="s">
        <v>14</v>
      </c>
      <c r="E130" t="s">
        <v>36</v>
      </c>
      <c r="F130">
        <v>1040</v>
      </c>
      <c r="G130">
        <v>0</v>
      </c>
      <c r="I130" s="2">
        <f t="shared" si="7"/>
        <v>1040</v>
      </c>
    </row>
    <row r="131" spans="1:9" x14ac:dyDescent="0.35">
      <c r="A131" t="s">
        <v>29</v>
      </c>
      <c r="B131" t="s">
        <v>24</v>
      </c>
      <c r="C131" t="s">
        <v>12</v>
      </c>
      <c r="D131" t="s">
        <v>15</v>
      </c>
      <c r="E131" t="s">
        <v>36</v>
      </c>
      <c r="F131">
        <v>260</v>
      </c>
      <c r="G131">
        <v>0</v>
      </c>
      <c r="I131" s="2">
        <f t="shared" si="7"/>
        <v>260</v>
      </c>
    </row>
    <row r="132" spans="1:9" x14ac:dyDescent="0.35">
      <c r="A132" t="s">
        <v>29</v>
      </c>
      <c r="B132" t="s">
        <v>24</v>
      </c>
      <c r="C132" t="s">
        <v>16</v>
      </c>
      <c r="D132" t="s">
        <v>17</v>
      </c>
      <c r="E132" t="s">
        <v>36</v>
      </c>
      <c r="F132">
        <v>910</v>
      </c>
      <c r="G132">
        <v>0</v>
      </c>
      <c r="I132" s="2">
        <f t="shared" si="7"/>
        <v>910</v>
      </c>
    </row>
    <row r="133" spans="1:9" x14ac:dyDescent="0.35">
      <c r="A133" t="s">
        <v>29</v>
      </c>
      <c r="B133" t="s">
        <v>24</v>
      </c>
      <c r="C133" t="s">
        <v>16</v>
      </c>
      <c r="D133" t="s">
        <v>18</v>
      </c>
      <c r="E133" t="s">
        <v>36</v>
      </c>
      <c r="F133">
        <v>260</v>
      </c>
      <c r="G133">
        <v>0</v>
      </c>
      <c r="I133" s="2">
        <f t="shared" si="7"/>
        <v>260</v>
      </c>
    </row>
    <row r="134" spans="1:9" x14ac:dyDescent="0.35">
      <c r="A134" t="s">
        <v>29</v>
      </c>
      <c r="B134" t="s">
        <v>24</v>
      </c>
      <c r="C134" t="s">
        <v>19</v>
      </c>
      <c r="D134" t="s">
        <v>20</v>
      </c>
      <c r="E134" t="s">
        <v>36</v>
      </c>
      <c r="F134">
        <v>390</v>
      </c>
      <c r="G134">
        <v>0</v>
      </c>
      <c r="I134" s="2">
        <f t="shared" si="7"/>
        <v>390</v>
      </c>
    </row>
    <row r="135" spans="1:9" x14ac:dyDescent="0.35">
      <c r="A135" t="s">
        <v>29</v>
      </c>
      <c r="B135" t="s">
        <v>24</v>
      </c>
      <c r="C135" t="s">
        <v>19</v>
      </c>
      <c r="D135" t="s">
        <v>21</v>
      </c>
      <c r="E135" t="s">
        <v>36</v>
      </c>
      <c r="F135">
        <v>390</v>
      </c>
      <c r="G135">
        <v>0</v>
      </c>
      <c r="I135" s="2">
        <f t="shared" si="7"/>
        <v>390</v>
      </c>
    </row>
    <row r="136" spans="1:9" x14ac:dyDescent="0.35">
      <c r="A136" t="s">
        <v>30</v>
      </c>
      <c r="B136" t="s">
        <v>24</v>
      </c>
      <c r="C136" t="s">
        <v>7</v>
      </c>
      <c r="D136" t="s">
        <v>8</v>
      </c>
      <c r="E136" t="s">
        <v>9</v>
      </c>
      <c r="F136">
        <v>17745</v>
      </c>
      <c r="G136">
        <v>5070</v>
      </c>
      <c r="I136" s="2">
        <f t="shared" si="7"/>
        <v>22815</v>
      </c>
    </row>
    <row r="137" spans="1:9" x14ac:dyDescent="0.35">
      <c r="A137" t="s">
        <v>30</v>
      </c>
      <c r="B137" t="s">
        <v>24</v>
      </c>
      <c r="C137" t="s">
        <v>12</v>
      </c>
      <c r="D137" t="s">
        <v>13</v>
      </c>
      <c r="E137" t="s">
        <v>9</v>
      </c>
      <c r="F137">
        <v>9971</v>
      </c>
      <c r="G137">
        <v>2704</v>
      </c>
      <c r="I137" s="2">
        <f t="shared" si="7"/>
        <v>12675</v>
      </c>
    </row>
    <row r="138" spans="1:9" x14ac:dyDescent="0.35">
      <c r="A138" t="s">
        <v>30</v>
      </c>
      <c r="B138" t="s">
        <v>24</v>
      </c>
      <c r="C138" t="s">
        <v>12</v>
      </c>
      <c r="D138" t="s">
        <v>14</v>
      </c>
      <c r="E138" t="s">
        <v>9</v>
      </c>
      <c r="F138">
        <v>13351</v>
      </c>
      <c r="G138">
        <v>3744</v>
      </c>
      <c r="I138" s="2">
        <f t="shared" si="7"/>
        <v>17095</v>
      </c>
    </row>
    <row r="139" spans="1:9" x14ac:dyDescent="0.35">
      <c r="A139" t="s">
        <v>30</v>
      </c>
      <c r="B139" t="s">
        <v>24</v>
      </c>
      <c r="C139" t="s">
        <v>12</v>
      </c>
      <c r="D139" t="s">
        <v>15</v>
      </c>
      <c r="E139" t="s">
        <v>9</v>
      </c>
      <c r="F139">
        <v>10309</v>
      </c>
      <c r="G139">
        <v>2873</v>
      </c>
      <c r="I139" s="2">
        <f t="shared" si="7"/>
        <v>13182</v>
      </c>
    </row>
    <row r="140" spans="1:9" x14ac:dyDescent="0.35">
      <c r="A140" t="s">
        <v>30</v>
      </c>
      <c r="B140" t="s">
        <v>24</v>
      </c>
      <c r="C140" t="s">
        <v>16</v>
      </c>
      <c r="D140" t="s">
        <v>17</v>
      </c>
      <c r="E140" t="s">
        <v>9</v>
      </c>
      <c r="F140">
        <v>15548</v>
      </c>
      <c r="G140">
        <v>4394</v>
      </c>
      <c r="I140" s="2">
        <f t="shared" si="7"/>
        <v>19942</v>
      </c>
    </row>
    <row r="141" spans="1:9" x14ac:dyDescent="0.35">
      <c r="A141" t="s">
        <v>30</v>
      </c>
      <c r="B141" t="s">
        <v>24</v>
      </c>
      <c r="C141" t="s">
        <v>16</v>
      </c>
      <c r="D141" t="s">
        <v>18</v>
      </c>
      <c r="E141" t="s">
        <v>9</v>
      </c>
      <c r="F141">
        <v>10140</v>
      </c>
      <c r="G141">
        <v>2873</v>
      </c>
      <c r="I141" s="2">
        <f t="shared" si="7"/>
        <v>13013</v>
      </c>
    </row>
    <row r="142" spans="1:9" x14ac:dyDescent="0.35">
      <c r="A142" t="s">
        <v>30</v>
      </c>
      <c r="B142" t="s">
        <v>24</v>
      </c>
      <c r="C142" t="s">
        <v>19</v>
      </c>
      <c r="D142" t="s">
        <v>20</v>
      </c>
      <c r="E142" t="s">
        <v>9</v>
      </c>
      <c r="F142">
        <v>10647</v>
      </c>
      <c r="G142">
        <v>3042</v>
      </c>
      <c r="I142" s="2">
        <f t="shared" si="7"/>
        <v>13689</v>
      </c>
    </row>
    <row r="143" spans="1:9" x14ac:dyDescent="0.35">
      <c r="A143" t="s">
        <v>30</v>
      </c>
      <c r="B143" t="s">
        <v>24</v>
      </c>
      <c r="C143" t="s">
        <v>19</v>
      </c>
      <c r="D143" t="s">
        <v>21</v>
      </c>
      <c r="E143" t="s">
        <v>9</v>
      </c>
      <c r="F143">
        <v>11661</v>
      </c>
      <c r="G143">
        <v>3380</v>
      </c>
      <c r="I143" s="2">
        <f t="shared" si="7"/>
        <v>15041</v>
      </c>
    </row>
    <row r="144" spans="1:9" x14ac:dyDescent="0.35">
      <c r="A144" t="s">
        <v>30</v>
      </c>
      <c r="B144" t="s">
        <v>24</v>
      </c>
      <c r="C144" t="s">
        <v>7</v>
      </c>
      <c r="D144" t="s">
        <v>8</v>
      </c>
      <c r="E144" t="s">
        <v>10</v>
      </c>
      <c r="F144">
        <v>1040</v>
      </c>
      <c r="G144">
        <v>0</v>
      </c>
      <c r="H144">
        <v>2080</v>
      </c>
      <c r="I144" s="2">
        <f t="shared" si="7"/>
        <v>3120</v>
      </c>
    </row>
    <row r="145" spans="1:9" x14ac:dyDescent="0.35">
      <c r="A145" t="s">
        <v>30</v>
      </c>
      <c r="B145" t="s">
        <v>24</v>
      </c>
      <c r="C145" t="s">
        <v>12</v>
      </c>
      <c r="D145" t="s">
        <v>13</v>
      </c>
      <c r="E145" t="s">
        <v>10</v>
      </c>
      <c r="F145">
        <v>780</v>
      </c>
      <c r="G145">
        <v>0</v>
      </c>
      <c r="I145" s="2">
        <f t="shared" si="7"/>
        <v>780</v>
      </c>
    </row>
    <row r="146" spans="1:9" x14ac:dyDescent="0.35">
      <c r="A146" t="s">
        <v>30</v>
      </c>
      <c r="B146" t="s">
        <v>24</v>
      </c>
      <c r="C146" t="s">
        <v>12</v>
      </c>
      <c r="D146" t="s">
        <v>14</v>
      </c>
      <c r="E146" t="s">
        <v>10</v>
      </c>
      <c r="F146">
        <v>2067</v>
      </c>
      <c r="G146">
        <v>0</v>
      </c>
      <c r="I146" s="2">
        <f t="shared" si="7"/>
        <v>2067</v>
      </c>
    </row>
    <row r="147" spans="1:9" x14ac:dyDescent="0.35">
      <c r="A147" t="s">
        <v>30</v>
      </c>
      <c r="B147" t="s">
        <v>24</v>
      </c>
      <c r="C147" t="s">
        <v>12</v>
      </c>
      <c r="D147" t="s">
        <v>15</v>
      </c>
      <c r="E147" t="s">
        <v>10</v>
      </c>
      <c r="F147">
        <v>1040</v>
      </c>
      <c r="G147">
        <v>0</v>
      </c>
      <c r="I147" s="2">
        <f t="shared" si="7"/>
        <v>1040</v>
      </c>
    </row>
    <row r="148" spans="1:9" x14ac:dyDescent="0.35">
      <c r="A148" t="s">
        <v>30</v>
      </c>
      <c r="B148" t="s">
        <v>24</v>
      </c>
      <c r="C148" t="s">
        <v>16</v>
      </c>
      <c r="D148" t="s">
        <v>17</v>
      </c>
      <c r="E148" t="s">
        <v>10</v>
      </c>
      <c r="F148">
        <v>2600</v>
      </c>
      <c r="G148">
        <v>0</v>
      </c>
      <c r="I148" s="2">
        <f t="shared" si="7"/>
        <v>2600</v>
      </c>
    </row>
    <row r="149" spans="1:9" x14ac:dyDescent="0.35">
      <c r="A149" t="s">
        <v>30</v>
      </c>
      <c r="B149" t="s">
        <v>24</v>
      </c>
      <c r="C149" t="s">
        <v>16</v>
      </c>
      <c r="D149" t="s">
        <v>18</v>
      </c>
      <c r="E149" t="s">
        <v>10</v>
      </c>
      <c r="F149">
        <v>650</v>
      </c>
      <c r="G149">
        <v>0</v>
      </c>
      <c r="I149" s="2">
        <f t="shared" si="7"/>
        <v>650</v>
      </c>
    </row>
    <row r="150" spans="1:9" x14ac:dyDescent="0.35">
      <c r="A150" t="s">
        <v>30</v>
      </c>
      <c r="B150" t="s">
        <v>24</v>
      </c>
      <c r="C150" t="s">
        <v>19</v>
      </c>
      <c r="D150" t="s">
        <v>20</v>
      </c>
      <c r="E150" t="s">
        <v>10</v>
      </c>
      <c r="F150">
        <v>1430</v>
      </c>
      <c r="G150">
        <v>0</v>
      </c>
      <c r="I150" s="2">
        <f t="shared" si="7"/>
        <v>1430</v>
      </c>
    </row>
    <row r="151" spans="1:9" x14ac:dyDescent="0.35">
      <c r="A151" t="s">
        <v>30</v>
      </c>
      <c r="B151" t="s">
        <v>24</v>
      </c>
      <c r="C151" t="s">
        <v>19</v>
      </c>
      <c r="D151" t="s">
        <v>21</v>
      </c>
      <c r="E151" t="s">
        <v>10</v>
      </c>
      <c r="F151">
        <v>1560</v>
      </c>
      <c r="G151">
        <v>0</v>
      </c>
      <c r="H151">
        <v>2860</v>
      </c>
      <c r="I151" s="2">
        <f t="shared" si="7"/>
        <v>4420</v>
      </c>
    </row>
    <row r="152" spans="1:9" x14ac:dyDescent="0.35">
      <c r="A152" t="s">
        <v>30</v>
      </c>
      <c r="B152" t="s">
        <v>24</v>
      </c>
      <c r="C152" t="s">
        <v>7</v>
      </c>
      <c r="D152" t="s">
        <v>8</v>
      </c>
      <c r="E152" t="s">
        <v>11</v>
      </c>
      <c r="F152">
        <v>70</v>
      </c>
      <c r="G152">
        <v>0</v>
      </c>
      <c r="I152" s="2">
        <f t="shared" si="7"/>
        <v>70</v>
      </c>
    </row>
    <row r="153" spans="1:9" x14ac:dyDescent="0.35">
      <c r="A153" t="s">
        <v>30</v>
      </c>
      <c r="B153" t="s">
        <v>24</v>
      </c>
      <c r="C153" t="s">
        <v>12</v>
      </c>
      <c r="D153" t="s">
        <v>13</v>
      </c>
      <c r="E153" t="s">
        <v>11</v>
      </c>
      <c r="F153">
        <v>210</v>
      </c>
      <c r="G153">
        <v>0</v>
      </c>
      <c r="I153" s="2">
        <f t="shared" si="7"/>
        <v>210</v>
      </c>
    </row>
    <row r="154" spans="1:9" x14ac:dyDescent="0.35">
      <c r="A154" t="s">
        <v>30</v>
      </c>
      <c r="B154" t="s">
        <v>24</v>
      </c>
      <c r="C154" t="s">
        <v>12</v>
      </c>
      <c r="D154" t="s">
        <v>14</v>
      </c>
      <c r="E154" t="s">
        <v>11</v>
      </c>
      <c r="F154">
        <v>70</v>
      </c>
      <c r="G154">
        <v>0</v>
      </c>
      <c r="I154" s="2">
        <f t="shared" si="7"/>
        <v>70</v>
      </c>
    </row>
    <row r="155" spans="1:9" x14ac:dyDescent="0.35">
      <c r="A155" t="s">
        <v>30</v>
      </c>
      <c r="B155" t="s">
        <v>24</v>
      </c>
      <c r="C155" t="s">
        <v>12</v>
      </c>
      <c r="D155" t="s">
        <v>15</v>
      </c>
      <c r="E155" t="s">
        <v>11</v>
      </c>
      <c r="F155">
        <v>70</v>
      </c>
      <c r="G155">
        <v>0</v>
      </c>
      <c r="I155" s="2">
        <f t="shared" si="7"/>
        <v>70</v>
      </c>
    </row>
    <row r="156" spans="1:9" x14ac:dyDescent="0.35">
      <c r="A156" t="s">
        <v>30</v>
      </c>
      <c r="B156" t="s">
        <v>24</v>
      </c>
      <c r="C156" t="s">
        <v>16</v>
      </c>
      <c r="D156" t="s">
        <v>17</v>
      </c>
      <c r="E156" t="s">
        <v>11</v>
      </c>
      <c r="F156">
        <v>210</v>
      </c>
      <c r="G156">
        <v>0</v>
      </c>
      <c r="I156" s="2">
        <f t="shared" si="7"/>
        <v>210</v>
      </c>
    </row>
    <row r="157" spans="1:9" x14ac:dyDescent="0.35">
      <c r="A157" t="s">
        <v>30</v>
      </c>
      <c r="B157" t="s">
        <v>24</v>
      </c>
      <c r="C157" t="s">
        <v>16</v>
      </c>
      <c r="D157" t="s">
        <v>18</v>
      </c>
      <c r="E157" t="s">
        <v>11</v>
      </c>
      <c r="F157">
        <v>70</v>
      </c>
      <c r="G157">
        <v>0</v>
      </c>
      <c r="I157" s="2">
        <f t="shared" si="7"/>
        <v>70</v>
      </c>
    </row>
    <row r="158" spans="1:9" x14ac:dyDescent="0.35">
      <c r="A158" t="s">
        <v>30</v>
      </c>
      <c r="B158" t="s">
        <v>24</v>
      </c>
      <c r="C158" t="s">
        <v>19</v>
      </c>
      <c r="D158" t="s">
        <v>20</v>
      </c>
      <c r="E158" t="s">
        <v>11</v>
      </c>
      <c r="F158">
        <v>280</v>
      </c>
      <c r="G158">
        <v>0</v>
      </c>
      <c r="I158" s="2">
        <f t="shared" si="7"/>
        <v>280</v>
      </c>
    </row>
    <row r="159" spans="1:9" x14ac:dyDescent="0.35">
      <c r="A159" t="s">
        <v>30</v>
      </c>
      <c r="B159" t="s">
        <v>24</v>
      </c>
      <c r="C159" t="s">
        <v>19</v>
      </c>
      <c r="D159" t="s">
        <v>21</v>
      </c>
      <c r="E159" t="s">
        <v>11</v>
      </c>
      <c r="F159">
        <v>0</v>
      </c>
      <c r="G159">
        <v>0</v>
      </c>
      <c r="I159" s="2">
        <f t="shared" si="7"/>
        <v>0</v>
      </c>
    </row>
    <row r="160" spans="1:9" x14ac:dyDescent="0.35">
      <c r="A160" t="s">
        <v>30</v>
      </c>
      <c r="B160" t="s">
        <v>24</v>
      </c>
      <c r="C160" t="s">
        <v>7</v>
      </c>
      <c r="D160" t="s">
        <v>8</v>
      </c>
      <c r="E160" t="s">
        <v>32</v>
      </c>
      <c r="F160">
        <v>1040</v>
      </c>
      <c r="G160">
        <v>0</v>
      </c>
      <c r="H160">
        <v>2990</v>
      </c>
      <c r="I160" s="2">
        <f t="shared" si="7"/>
        <v>4030</v>
      </c>
    </row>
    <row r="161" spans="1:9" x14ac:dyDescent="0.35">
      <c r="A161" t="s">
        <v>30</v>
      </c>
      <c r="B161" t="s">
        <v>24</v>
      </c>
      <c r="C161" t="s">
        <v>12</v>
      </c>
      <c r="D161" t="s">
        <v>13</v>
      </c>
      <c r="E161" t="s">
        <v>32</v>
      </c>
      <c r="F161">
        <v>390</v>
      </c>
      <c r="G161">
        <v>0</v>
      </c>
      <c r="I161" s="2">
        <f t="shared" si="7"/>
        <v>390</v>
      </c>
    </row>
    <row r="162" spans="1:9" x14ac:dyDescent="0.35">
      <c r="A162" t="s">
        <v>30</v>
      </c>
      <c r="B162" t="s">
        <v>24</v>
      </c>
      <c r="C162" t="s">
        <v>12</v>
      </c>
      <c r="D162" t="s">
        <v>14</v>
      </c>
      <c r="E162" t="s">
        <v>32</v>
      </c>
      <c r="F162">
        <v>1404</v>
      </c>
      <c r="G162">
        <v>0</v>
      </c>
      <c r="I162" s="2">
        <f t="shared" si="7"/>
        <v>1404</v>
      </c>
    </row>
    <row r="163" spans="1:9" x14ac:dyDescent="0.35">
      <c r="A163" t="s">
        <v>30</v>
      </c>
      <c r="B163" t="s">
        <v>24</v>
      </c>
      <c r="C163" t="s">
        <v>12</v>
      </c>
      <c r="D163" t="s">
        <v>15</v>
      </c>
      <c r="E163" t="s">
        <v>32</v>
      </c>
      <c r="F163">
        <v>390</v>
      </c>
      <c r="G163">
        <v>0</v>
      </c>
      <c r="I163" s="2">
        <f t="shared" si="7"/>
        <v>390</v>
      </c>
    </row>
    <row r="164" spans="1:9" x14ac:dyDescent="0.35">
      <c r="A164" t="s">
        <v>30</v>
      </c>
      <c r="B164" t="s">
        <v>24</v>
      </c>
      <c r="C164" t="s">
        <v>16</v>
      </c>
      <c r="D164" t="s">
        <v>17</v>
      </c>
      <c r="E164" t="s">
        <v>32</v>
      </c>
      <c r="F164">
        <v>780</v>
      </c>
      <c r="G164">
        <v>0</v>
      </c>
      <c r="I164" s="2">
        <f t="shared" si="7"/>
        <v>780</v>
      </c>
    </row>
    <row r="165" spans="1:9" x14ac:dyDescent="0.35">
      <c r="A165" t="s">
        <v>30</v>
      </c>
      <c r="B165" t="s">
        <v>24</v>
      </c>
      <c r="C165" t="s">
        <v>16</v>
      </c>
      <c r="D165" t="s">
        <v>18</v>
      </c>
      <c r="E165" t="s">
        <v>32</v>
      </c>
      <c r="F165">
        <v>650</v>
      </c>
      <c r="G165">
        <v>0</v>
      </c>
      <c r="I165" s="2">
        <f t="shared" si="7"/>
        <v>650</v>
      </c>
    </row>
    <row r="166" spans="1:9" x14ac:dyDescent="0.35">
      <c r="A166" t="s">
        <v>30</v>
      </c>
      <c r="B166" t="s">
        <v>24</v>
      </c>
      <c r="C166" t="s">
        <v>19</v>
      </c>
      <c r="D166" t="s">
        <v>20</v>
      </c>
      <c r="E166" t="s">
        <v>32</v>
      </c>
      <c r="F166">
        <v>780</v>
      </c>
      <c r="G166">
        <v>0</v>
      </c>
      <c r="I166" s="2">
        <f t="shared" si="7"/>
        <v>780</v>
      </c>
    </row>
    <row r="167" spans="1:9" x14ac:dyDescent="0.35">
      <c r="A167" t="s">
        <v>30</v>
      </c>
      <c r="B167" t="s">
        <v>24</v>
      </c>
      <c r="C167" t="s">
        <v>19</v>
      </c>
      <c r="D167" t="s">
        <v>21</v>
      </c>
      <c r="E167" t="s">
        <v>32</v>
      </c>
      <c r="F167">
        <v>1300</v>
      </c>
      <c r="G167">
        <v>0</v>
      </c>
      <c r="H167">
        <v>4004</v>
      </c>
      <c r="I167" s="2">
        <f t="shared" si="7"/>
        <v>5304</v>
      </c>
    </row>
    <row r="168" spans="1:9" x14ac:dyDescent="0.35">
      <c r="A168" t="s">
        <v>30</v>
      </c>
      <c r="B168" t="s">
        <v>24</v>
      </c>
      <c r="C168" t="s">
        <v>7</v>
      </c>
      <c r="D168" t="s">
        <v>8</v>
      </c>
      <c r="E168" t="s">
        <v>33</v>
      </c>
      <c r="F168">
        <v>507</v>
      </c>
      <c r="G168">
        <v>169</v>
      </c>
      <c r="I168" s="2">
        <f t="shared" ref="I168:I231" si="8">SUM(F168,G168,H168)</f>
        <v>676</v>
      </c>
    </row>
    <row r="169" spans="1:9" x14ac:dyDescent="0.35">
      <c r="A169" t="s">
        <v>30</v>
      </c>
      <c r="B169" t="s">
        <v>24</v>
      </c>
      <c r="C169" t="s">
        <v>12</v>
      </c>
      <c r="D169" t="s">
        <v>13</v>
      </c>
      <c r="E169" t="s">
        <v>33</v>
      </c>
      <c r="F169">
        <v>169</v>
      </c>
      <c r="G169">
        <v>0</v>
      </c>
      <c r="I169" s="2">
        <f t="shared" si="8"/>
        <v>169</v>
      </c>
    </row>
    <row r="170" spans="1:9" x14ac:dyDescent="0.35">
      <c r="A170" t="s">
        <v>30</v>
      </c>
      <c r="B170" t="s">
        <v>24</v>
      </c>
      <c r="C170" t="s">
        <v>12</v>
      </c>
      <c r="D170" t="s">
        <v>14</v>
      </c>
      <c r="E170" t="s">
        <v>33</v>
      </c>
      <c r="F170">
        <v>0</v>
      </c>
      <c r="G170">
        <v>0</v>
      </c>
      <c r="I170" s="2">
        <f t="shared" si="8"/>
        <v>0</v>
      </c>
    </row>
    <row r="171" spans="1:9" x14ac:dyDescent="0.35">
      <c r="A171" t="s">
        <v>30</v>
      </c>
      <c r="B171" t="s">
        <v>24</v>
      </c>
      <c r="C171" t="s">
        <v>12</v>
      </c>
      <c r="D171" t="s">
        <v>15</v>
      </c>
      <c r="E171" t="s">
        <v>33</v>
      </c>
      <c r="F171">
        <v>598</v>
      </c>
      <c r="G171">
        <v>0</v>
      </c>
      <c r="I171" s="2">
        <f t="shared" si="8"/>
        <v>598</v>
      </c>
    </row>
    <row r="172" spans="1:9" x14ac:dyDescent="0.35">
      <c r="A172" t="s">
        <v>30</v>
      </c>
      <c r="B172" t="s">
        <v>24</v>
      </c>
      <c r="C172" t="s">
        <v>16</v>
      </c>
      <c r="D172" t="s">
        <v>17</v>
      </c>
      <c r="E172" t="s">
        <v>33</v>
      </c>
      <c r="F172">
        <v>507</v>
      </c>
      <c r="G172">
        <v>169</v>
      </c>
      <c r="I172" s="2">
        <f t="shared" si="8"/>
        <v>676</v>
      </c>
    </row>
    <row r="173" spans="1:9" x14ac:dyDescent="0.35">
      <c r="A173" t="s">
        <v>30</v>
      </c>
      <c r="B173" t="s">
        <v>24</v>
      </c>
      <c r="C173" t="s">
        <v>16</v>
      </c>
      <c r="D173" t="s">
        <v>18</v>
      </c>
      <c r="E173" t="s">
        <v>33</v>
      </c>
      <c r="F173">
        <v>507</v>
      </c>
      <c r="G173">
        <v>0</v>
      </c>
      <c r="I173" s="2">
        <f t="shared" si="8"/>
        <v>507</v>
      </c>
    </row>
    <row r="174" spans="1:9" x14ac:dyDescent="0.35">
      <c r="A174" t="s">
        <v>30</v>
      </c>
      <c r="B174" t="s">
        <v>24</v>
      </c>
      <c r="C174" t="s">
        <v>19</v>
      </c>
      <c r="D174" t="s">
        <v>20</v>
      </c>
      <c r="E174" t="s">
        <v>33</v>
      </c>
      <c r="F174">
        <v>169</v>
      </c>
      <c r="G174">
        <v>0</v>
      </c>
      <c r="I174" s="2">
        <f t="shared" si="8"/>
        <v>169</v>
      </c>
    </row>
    <row r="175" spans="1:9" x14ac:dyDescent="0.35">
      <c r="A175" t="s">
        <v>30</v>
      </c>
      <c r="B175" t="s">
        <v>24</v>
      </c>
      <c r="C175" t="s">
        <v>19</v>
      </c>
      <c r="D175" t="s">
        <v>21</v>
      </c>
      <c r="E175" t="s">
        <v>33</v>
      </c>
      <c r="F175">
        <v>338</v>
      </c>
      <c r="G175">
        <v>0</v>
      </c>
      <c r="I175" s="2">
        <f t="shared" si="8"/>
        <v>338</v>
      </c>
    </row>
    <row r="176" spans="1:9" x14ac:dyDescent="0.35">
      <c r="A176" t="s">
        <v>30</v>
      </c>
      <c r="B176" t="s">
        <v>24</v>
      </c>
      <c r="C176" t="s">
        <v>7</v>
      </c>
      <c r="D176" t="s">
        <v>8</v>
      </c>
      <c r="E176" t="s">
        <v>34</v>
      </c>
      <c r="F176">
        <v>3250</v>
      </c>
      <c r="G176">
        <v>260</v>
      </c>
      <c r="I176" s="2">
        <f t="shared" si="8"/>
        <v>3510</v>
      </c>
    </row>
    <row r="177" spans="1:9" x14ac:dyDescent="0.35">
      <c r="A177" t="s">
        <v>30</v>
      </c>
      <c r="B177" t="s">
        <v>24</v>
      </c>
      <c r="C177" t="s">
        <v>12</v>
      </c>
      <c r="D177" t="s">
        <v>13</v>
      </c>
      <c r="E177" t="s">
        <v>34</v>
      </c>
      <c r="F177">
        <v>3380</v>
      </c>
      <c r="G177">
        <v>260</v>
      </c>
      <c r="I177" s="2">
        <f t="shared" si="8"/>
        <v>3640</v>
      </c>
    </row>
    <row r="178" spans="1:9" x14ac:dyDescent="0.35">
      <c r="A178" t="s">
        <v>30</v>
      </c>
      <c r="B178" t="s">
        <v>24</v>
      </c>
      <c r="C178" t="s">
        <v>12</v>
      </c>
      <c r="D178" t="s">
        <v>14</v>
      </c>
      <c r="E178" t="s">
        <v>34</v>
      </c>
      <c r="F178">
        <v>5460</v>
      </c>
      <c r="G178">
        <v>390</v>
      </c>
      <c r="I178" s="2">
        <f t="shared" si="8"/>
        <v>5850</v>
      </c>
    </row>
    <row r="179" spans="1:9" x14ac:dyDescent="0.35">
      <c r="A179" t="s">
        <v>30</v>
      </c>
      <c r="B179" t="s">
        <v>24</v>
      </c>
      <c r="C179" t="s">
        <v>12</v>
      </c>
      <c r="D179" t="s">
        <v>15</v>
      </c>
      <c r="E179" t="s">
        <v>34</v>
      </c>
      <c r="F179">
        <v>3380</v>
      </c>
      <c r="G179">
        <v>260</v>
      </c>
      <c r="I179" s="2">
        <f t="shared" si="8"/>
        <v>3640</v>
      </c>
    </row>
    <row r="180" spans="1:9" x14ac:dyDescent="0.35">
      <c r="A180" t="s">
        <v>30</v>
      </c>
      <c r="B180" t="s">
        <v>24</v>
      </c>
      <c r="C180" t="s">
        <v>16</v>
      </c>
      <c r="D180" t="s">
        <v>17</v>
      </c>
      <c r="E180" t="s">
        <v>34</v>
      </c>
      <c r="F180">
        <v>6760</v>
      </c>
      <c r="G180">
        <v>390</v>
      </c>
      <c r="I180" s="2">
        <f t="shared" si="8"/>
        <v>7150</v>
      </c>
    </row>
    <row r="181" spans="1:9" x14ac:dyDescent="0.35">
      <c r="A181" t="s">
        <v>30</v>
      </c>
      <c r="B181" t="s">
        <v>24</v>
      </c>
      <c r="C181" t="s">
        <v>16</v>
      </c>
      <c r="D181" t="s">
        <v>18</v>
      </c>
      <c r="E181" t="s">
        <v>34</v>
      </c>
      <c r="F181">
        <v>3640</v>
      </c>
      <c r="G181">
        <v>260</v>
      </c>
      <c r="I181" s="2">
        <f t="shared" si="8"/>
        <v>3900</v>
      </c>
    </row>
    <row r="182" spans="1:9" x14ac:dyDescent="0.35">
      <c r="A182" t="s">
        <v>30</v>
      </c>
      <c r="B182" t="s">
        <v>24</v>
      </c>
      <c r="C182" t="s">
        <v>19</v>
      </c>
      <c r="D182" t="s">
        <v>20</v>
      </c>
      <c r="E182" t="s">
        <v>34</v>
      </c>
      <c r="F182">
        <v>4160</v>
      </c>
      <c r="G182">
        <v>260</v>
      </c>
      <c r="I182" s="2">
        <f t="shared" si="8"/>
        <v>4420</v>
      </c>
    </row>
    <row r="183" spans="1:9" x14ac:dyDescent="0.35">
      <c r="A183" t="s">
        <v>30</v>
      </c>
      <c r="B183" t="s">
        <v>24</v>
      </c>
      <c r="C183" t="s">
        <v>19</v>
      </c>
      <c r="D183" t="s">
        <v>21</v>
      </c>
      <c r="E183" t="s">
        <v>34</v>
      </c>
      <c r="F183">
        <v>8190</v>
      </c>
      <c r="G183">
        <v>520</v>
      </c>
      <c r="I183" s="2">
        <f t="shared" si="8"/>
        <v>8710</v>
      </c>
    </row>
    <row r="184" spans="1:9" x14ac:dyDescent="0.35">
      <c r="A184" t="s">
        <v>30</v>
      </c>
      <c r="B184" t="s">
        <v>24</v>
      </c>
      <c r="C184" t="s">
        <v>7</v>
      </c>
      <c r="D184" t="s">
        <v>8</v>
      </c>
      <c r="E184" t="s">
        <v>35</v>
      </c>
      <c r="F184">
        <v>4563</v>
      </c>
      <c r="G184">
        <v>0</v>
      </c>
      <c r="I184" s="2">
        <f t="shared" si="8"/>
        <v>4563</v>
      </c>
    </row>
    <row r="185" spans="1:9" x14ac:dyDescent="0.35">
      <c r="A185" t="s">
        <v>30</v>
      </c>
      <c r="B185" t="s">
        <v>24</v>
      </c>
      <c r="C185" t="s">
        <v>12</v>
      </c>
      <c r="D185" t="s">
        <v>13</v>
      </c>
      <c r="E185" t="s">
        <v>35</v>
      </c>
      <c r="F185">
        <v>3718</v>
      </c>
      <c r="G185">
        <v>0</v>
      </c>
      <c r="I185" s="2">
        <f t="shared" si="8"/>
        <v>3718</v>
      </c>
    </row>
    <row r="186" spans="1:9" x14ac:dyDescent="0.35">
      <c r="A186" t="s">
        <v>30</v>
      </c>
      <c r="B186" t="s">
        <v>24</v>
      </c>
      <c r="C186" t="s">
        <v>12</v>
      </c>
      <c r="D186" t="s">
        <v>14</v>
      </c>
      <c r="E186" t="s">
        <v>35</v>
      </c>
      <c r="F186">
        <v>3263</v>
      </c>
      <c r="G186">
        <v>0</v>
      </c>
      <c r="I186" s="2">
        <f t="shared" si="8"/>
        <v>3263</v>
      </c>
    </row>
    <row r="187" spans="1:9" x14ac:dyDescent="0.35">
      <c r="A187" t="s">
        <v>30</v>
      </c>
      <c r="B187" t="s">
        <v>24</v>
      </c>
      <c r="C187" t="s">
        <v>12</v>
      </c>
      <c r="D187" t="s">
        <v>15</v>
      </c>
      <c r="E187" t="s">
        <v>35</v>
      </c>
      <c r="F187">
        <v>3549</v>
      </c>
      <c r="G187">
        <v>0</v>
      </c>
      <c r="I187" s="2">
        <f t="shared" si="8"/>
        <v>3549</v>
      </c>
    </row>
    <row r="188" spans="1:9" x14ac:dyDescent="0.35">
      <c r="A188" t="s">
        <v>30</v>
      </c>
      <c r="B188" t="s">
        <v>24</v>
      </c>
      <c r="C188" t="s">
        <v>16</v>
      </c>
      <c r="D188" t="s">
        <v>17</v>
      </c>
      <c r="E188" t="s">
        <v>35</v>
      </c>
      <c r="F188">
        <v>4563</v>
      </c>
      <c r="G188">
        <v>0</v>
      </c>
      <c r="I188" s="2">
        <f t="shared" si="8"/>
        <v>4563</v>
      </c>
    </row>
    <row r="189" spans="1:9" x14ac:dyDescent="0.35">
      <c r="A189" t="s">
        <v>30</v>
      </c>
      <c r="B189" t="s">
        <v>24</v>
      </c>
      <c r="C189" t="s">
        <v>16</v>
      </c>
      <c r="D189" t="s">
        <v>18</v>
      </c>
      <c r="E189" t="s">
        <v>35</v>
      </c>
      <c r="F189">
        <v>2873</v>
      </c>
      <c r="G189">
        <v>0</v>
      </c>
      <c r="I189" s="2">
        <f t="shared" si="8"/>
        <v>2873</v>
      </c>
    </row>
    <row r="190" spans="1:9" x14ac:dyDescent="0.35">
      <c r="A190" t="s">
        <v>30</v>
      </c>
      <c r="B190" t="s">
        <v>24</v>
      </c>
      <c r="C190" t="s">
        <v>19</v>
      </c>
      <c r="D190" t="s">
        <v>20</v>
      </c>
      <c r="E190" t="s">
        <v>35</v>
      </c>
      <c r="F190">
        <v>3380</v>
      </c>
      <c r="G190">
        <v>0</v>
      </c>
      <c r="I190" s="2">
        <f t="shared" si="8"/>
        <v>3380</v>
      </c>
    </row>
    <row r="191" spans="1:9" x14ac:dyDescent="0.35">
      <c r="A191" t="s">
        <v>30</v>
      </c>
      <c r="B191" t="s">
        <v>24</v>
      </c>
      <c r="C191" t="s">
        <v>19</v>
      </c>
      <c r="D191" t="s">
        <v>21</v>
      </c>
      <c r="E191" t="s">
        <v>35</v>
      </c>
      <c r="F191">
        <v>3042</v>
      </c>
      <c r="G191">
        <v>0</v>
      </c>
      <c r="I191" s="2">
        <f t="shared" si="8"/>
        <v>3042</v>
      </c>
    </row>
    <row r="192" spans="1:9" x14ac:dyDescent="0.35">
      <c r="A192" t="s">
        <v>30</v>
      </c>
      <c r="B192" t="s">
        <v>24</v>
      </c>
      <c r="C192" t="s">
        <v>7</v>
      </c>
      <c r="D192" t="s">
        <v>8</v>
      </c>
      <c r="E192" t="s">
        <v>36</v>
      </c>
      <c r="F192">
        <v>2340</v>
      </c>
      <c r="G192">
        <v>0</v>
      </c>
      <c r="I192" s="2">
        <f t="shared" si="8"/>
        <v>2340</v>
      </c>
    </row>
    <row r="193" spans="1:9" x14ac:dyDescent="0.35">
      <c r="A193" t="s">
        <v>30</v>
      </c>
      <c r="B193" t="s">
        <v>24</v>
      </c>
      <c r="C193" t="s">
        <v>12</v>
      </c>
      <c r="D193" t="s">
        <v>13</v>
      </c>
      <c r="E193" t="s">
        <v>36</v>
      </c>
      <c r="F193">
        <v>780</v>
      </c>
      <c r="G193">
        <v>0</v>
      </c>
      <c r="I193" s="2">
        <f t="shared" si="8"/>
        <v>780</v>
      </c>
    </row>
    <row r="194" spans="1:9" x14ac:dyDescent="0.35">
      <c r="A194" t="s">
        <v>30</v>
      </c>
      <c r="B194" t="s">
        <v>24</v>
      </c>
      <c r="C194" t="s">
        <v>12</v>
      </c>
      <c r="D194" t="s">
        <v>14</v>
      </c>
      <c r="E194" t="s">
        <v>36</v>
      </c>
      <c r="F194">
        <v>1770</v>
      </c>
      <c r="G194">
        <v>0</v>
      </c>
      <c r="I194" s="2">
        <f t="shared" si="8"/>
        <v>1770</v>
      </c>
    </row>
    <row r="195" spans="1:9" x14ac:dyDescent="0.35">
      <c r="A195" t="s">
        <v>30</v>
      </c>
      <c r="B195" t="s">
        <v>24</v>
      </c>
      <c r="C195" t="s">
        <v>12</v>
      </c>
      <c r="D195" t="s">
        <v>15</v>
      </c>
      <c r="E195" t="s">
        <v>36</v>
      </c>
      <c r="F195">
        <v>260</v>
      </c>
      <c r="G195">
        <v>0</v>
      </c>
      <c r="I195" s="2">
        <f t="shared" si="8"/>
        <v>260</v>
      </c>
    </row>
    <row r="196" spans="1:9" x14ac:dyDescent="0.35">
      <c r="A196" t="s">
        <v>30</v>
      </c>
      <c r="B196" t="s">
        <v>24</v>
      </c>
      <c r="C196" t="s">
        <v>16</v>
      </c>
      <c r="D196" t="s">
        <v>17</v>
      </c>
      <c r="E196" t="s">
        <v>36</v>
      </c>
      <c r="F196">
        <v>1560</v>
      </c>
      <c r="G196">
        <v>0</v>
      </c>
      <c r="I196" s="2">
        <f t="shared" si="8"/>
        <v>1560</v>
      </c>
    </row>
    <row r="197" spans="1:9" x14ac:dyDescent="0.35">
      <c r="A197" t="s">
        <v>30</v>
      </c>
      <c r="B197" t="s">
        <v>24</v>
      </c>
      <c r="C197" t="s">
        <v>16</v>
      </c>
      <c r="D197" t="s">
        <v>18</v>
      </c>
      <c r="E197" t="s">
        <v>36</v>
      </c>
      <c r="F197">
        <v>520</v>
      </c>
      <c r="G197">
        <v>0</v>
      </c>
      <c r="I197" s="2">
        <f t="shared" si="8"/>
        <v>520</v>
      </c>
    </row>
    <row r="198" spans="1:9" x14ac:dyDescent="0.35">
      <c r="A198" t="s">
        <v>30</v>
      </c>
      <c r="B198" t="s">
        <v>24</v>
      </c>
      <c r="C198" t="s">
        <v>19</v>
      </c>
      <c r="D198" t="s">
        <v>20</v>
      </c>
      <c r="E198" t="s">
        <v>36</v>
      </c>
      <c r="F198">
        <v>520</v>
      </c>
      <c r="G198">
        <v>0</v>
      </c>
      <c r="I198" s="2">
        <f t="shared" si="8"/>
        <v>520</v>
      </c>
    </row>
    <row r="199" spans="1:9" x14ac:dyDescent="0.35">
      <c r="A199" t="s">
        <v>30</v>
      </c>
      <c r="B199" t="s">
        <v>24</v>
      </c>
      <c r="C199" t="s">
        <v>19</v>
      </c>
      <c r="D199" t="s">
        <v>21</v>
      </c>
      <c r="E199" t="s">
        <v>36</v>
      </c>
      <c r="F199">
        <v>650</v>
      </c>
      <c r="G199">
        <v>0</v>
      </c>
      <c r="I199" s="2">
        <f t="shared" si="8"/>
        <v>650</v>
      </c>
    </row>
    <row r="200" spans="1:9" x14ac:dyDescent="0.35">
      <c r="A200" t="s">
        <v>31</v>
      </c>
      <c r="B200" t="s">
        <v>24</v>
      </c>
      <c r="C200" t="s">
        <v>7</v>
      </c>
      <c r="D200" t="s">
        <v>8</v>
      </c>
      <c r="E200" t="s">
        <v>9</v>
      </c>
      <c r="F200">
        <v>4394</v>
      </c>
      <c r="G200">
        <v>273</v>
      </c>
      <c r="I200" s="2">
        <f t="shared" si="8"/>
        <v>4667</v>
      </c>
    </row>
    <row r="201" spans="1:9" x14ac:dyDescent="0.35">
      <c r="A201" t="s">
        <v>31</v>
      </c>
      <c r="B201" t="s">
        <v>24</v>
      </c>
      <c r="C201" t="s">
        <v>12</v>
      </c>
      <c r="D201" t="s">
        <v>13</v>
      </c>
      <c r="E201" t="s">
        <v>9</v>
      </c>
      <c r="F201">
        <v>2197</v>
      </c>
      <c r="G201">
        <v>0</v>
      </c>
      <c r="I201" s="2">
        <f t="shared" si="8"/>
        <v>2197</v>
      </c>
    </row>
    <row r="202" spans="1:9" x14ac:dyDescent="0.35">
      <c r="A202" t="s">
        <v>31</v>
      </c>
      <c r="B202" t="s">
        <v>24</v>
      </c>
      <c r="C202" t="s">
        <v>12</v>
      </c>
      <c r="D202" t="s">
        <v>14</v>
      </c>
      <c r="E202" t="s">
        <v>9</v>
      </c>
      <c r="F202">
        <v>3211</v>
      </c>
      <c r="G202">
        <v>234</v>
      </c>
      <c r="I202" s="2">
        <f t="shared" si="8"/>
        <v>3445</v>
      </c>
    </row>
    <row r="203" spans="1:9" x14ac:dyDescent="0.35">
      <c r="A203" t="s">
        <v>31</v>
      </c>
      <c r="B203" t="s">
        <v>24</v>
      </c>
      <c r="C203" t="s">
        <v>12</v>
      </c>
      <c r="D203" t="s">
        <v>15</v>
      </c>
      <c r="E203" t="s">
        <v>9</v>
      </c>
      <c r="F203">
        <v>2535</v>
      </c>
      <c r="G203">
        <v>143</v>
      </c>
      <c r="I203" s="2">
        <f t="shared" si="8"/>
        <v>2678</v>
      </c>
    </row>
    <row r="204" spans="1:9" x14ac:dyDescent="0.35">
      <c r="A204" t="s">
        <v>31</v>
      </c>
      <c r="B204" t="s">
        <v>24</v>
      </c>
      <c r="C204" t="s">
        <v>16</v>
      </c>
      <c r="D204" t="s">
        <v>17</v>
      </c>
      <c r="E204" t="s">
        <v>9</v>
      </c>
      <c r="F204">
        <v>3718</v>
      </c>
      <c r="G204">
        <v>208</v>
      </c>
      <c r="I204" s="2">
        <f t="shared" si="8"/>
        <v>3926</v>
      </c>
    </row>
    <row r="205" spans="1:9" x14ac:dyDescent="0.35">
      <c r="A205" t="s">
        <v>31</v>
      </c>
      <c r="B205" t="s">
        <v>24</v>
      </c>
      <c r="C205" t="s">
        <v>16</v>
      </c>
      <c r="D205" t="s">
        <v>18</v>
      </c>
      <c r="E205" t="s">
        <v>9</v>
      </c>
      <c r="F205">
        <v>2366</v>
      </c>
      <c r="G205">
        <v>234</v>
      </c>
      <c r="I205" s="2">
        <f t="shared" si="8"/>
        <v>2600</v>
      </c>
    </row>
    <row r="206" spans="1:9" x14ac:dyDescent="0.35">
      <c r="A206" t="s">
        <v>31</v>
      </c>
      <c r="B206" t="s">
        <v>24</v>
      </c>
      <c r="C206" t="s">
        <v>19</v>
      </c>
      <c r="D206" t="s">
        <v>20</v>
      </c>
      <c r="E206" t="s">
        <v>9</v>
      </c>
      <c r="F206">
        <v>2366</v>
      </c>
      <c r="G206">
        <v>338</v>
      </c>
      <c r="I206" s="2">
        <f t="shared" si="8"/>
        <v>2704</v>
      </c>
    </row>
    <row r="207" spans="1:9" x14ac:dyDescent="0.35">
      <c r="A207" t="s">
        <v>31</v>
      </c>
      <c r="B207" t="s">
        <v>24</v>
      </c>
      <c r="C207" t="s">
        <v>19</v>
      </c>
      <c r="D207" t="s">
        <v>21</v>
      </c>
      <c r="E207" t="s">
        <v>9</v>
      </c>
      <c r="F207">
        <v>2873</v>
      </c>
      <c r="G207">
        <v>182</v>
      </c>
      <c r="I207" s="2">
        <f t="shared" si="8"/>
        <v>3055</v>
      </c>
    </row>
    <row r="208" spans="1:9" x14ac:dyDescent="0.35">
      <c r="A208" t="s">
        <v>31</v>
      </c>
      <c r="B208" t="s">
        <v>24</v>
      </c>
      <c r="C208" t="s">
        <v>7</v>
      </c>
      <c r="D208" t="s">
        <v>8</v>
      </c>
      <c r="E208" t="s">
        <v>10</v>
      </c>
      <c r="F208">
        <v>0</v>
      </c>
      <c r="G208">
        <v>390</v>
      </c>
      <c r="I208" s="2">
        <f t="shared" si="8"/>
        <v>390</v>
      </c>
    </row>
    <row r="209" spans="1:9" x14ac:dyDescent="0.35">
      <c r="A209" t="s">
        <v>31</v>
      </c>
      <c r="B209" t="s">
        <v>24</v>
      </c>
      <c r="C209" t="s">
        <v>12</v>
      </c>
      <c r="D209" t="s">
        <v>13</v>
      </c>
      <c r="E209" t="s">
        <v>10</v>
      </c>
      <c r="F209">
        <v>1300</v>
      </c>
      <c r="G209">
        <v>0</v>
      </c>
      <c r="I209" s="2">
        <f t="shared" si="8"/>
        <v>1300</v>
      </c>
    </row>
    <row r="210" spans="1:9" x14ac:dyDescent="0.35">
      <c r="A210" t="s">
        <v>31</v>
      </c>
      <c r="B210" t="s">
        <v>24</v>
      </c>
      <c r="C210" t="s">
        <v>12</v>
      </c>
      <c r="D210" t="s">
        <v>14</v>
      </c>
      <c r="E210" t="s">
        <v>10</v>
      </c>
      <c r="F210">
        <v>4225</v>
      </c>
      <c r="G210">
        <v>260</v>
      </c>
      <c r="I210" s="2">
        <f t="shared" si="8"/>
        <v>4485</v>
      </c>
    </row>
    <row r="211" spans="1:9" x14ac:dyDescent="0.35">
      <c r="A211" t="s">
        <v>31</v>
      </c>
      <c r="B211" t="s">
        <v>24</v>
      </c>
      <c r="C211" t="s">
        <v>12</v>
      </c>
      <c r="D211" t="s">
        <v>15</v>
      </c>
      <c r="E211" t="s">
        <v>10</v>
      </c>
      <c r="F211">
        <v>1989</v>
      </c>
      <c r="G211">
        <v>130</v>
      </c>
      <c r="I211" s="2">
        <f t="shared" si="8"/>
        <v>2119</v>
      </c>
    </row>
    <row r="212" spans="1:9" x14ac:dyDescent="0.35">
      <c r="A212" t="s">
        <v>31</v>
      </c>
      <c r="B212" t="s">
        <v>24</v>
      </c>
      <c r="C212" t="s">
        <v>16</v>
      </c>
      <c r="D212" t="s">
        <v>17</v>
      </c>
      <c r="E212" t="s">
        <v>10</v>
      </c>
      <c r="F212">
        <v>4810</v>
      </c>
      <c r="G212">
        <v>429</v>
      </c>
      <c r="I212" s="2">
        <f t="shared" si="8"/>
        <v>5239</v>
      </c>
    </row>
    <row r="213" spans="1:9" x14ac:dyDescent="0.35">
      <c r="A213" t="s">
        <v>31</v>
      </c>
      <c r="B213" t="s">
        <v>24</v>
      </c>
      <c r="C213" t="s">
        <v>16</v>
      </c>
      <c r="D213" t="s">
        <v>18</v>
      </c>
      <c r="E213" t="s">
        <v>10</v>
      </c>
      <c r="F213">
        <v>1261</v>
      </c>
      <c r="G213">
        <v>260</v>
      </c>
      <c r="I213" s="2">
        <f t="shared" si="8"/>
        <v>1521</v>
      </c>
    </row>
    <row r="214" spans="1:9" x14ac:dyDescent="0.35">
      <c r="A214" t="s">
        <v>31</v>
      </c>
      <c r="B214" t="s">
        <v>24</v>
      </c>
      <c r="C214" t="s">
        <v>19</v>
      </c>
      <c r="D214" t="s">
        <v>20</v>
      </c>
      <c r="E214" t="s">
        <v>10</v>
      </c>
      <c r="F214">
        <v>2860</v>
      </c>
      <c r="G214">
        <v>390</v>
      </c>
      <c r="I214" s="2">
        <f t="shared" si="8"/>
        <v>3250</v>
      </c>
    </row>
    <row r="215" spans="1:9" x14ac:dyDescent="0.35">
      <c r="A215" t="s">
        <v>31</v>
      </c>
      <c r="B215" t="s">
        <v>24</v>
      </c>
      <c r="C215" t="s">
        <v>19</v>
      </c>
      <c r="D215" t="s">
        <v>21</v>
      </c>
      <c r="E215" t="s">
        <v>10</v>
      </c>
      <c r="F215">
        <v>0</v>
      </c>
      <c r="G215">
        <v>260</v>
      </c>
      <c r="I215" s="2">
        <f t="shared" si="8"/>
        <v>260</v>
      </c>
    </row>
    <row r="216" spans="1:9" x14ac:dyDescent="0.35">
      <c r="A216" t="s">
        <v>31</v>
      </c>
      <c r="B216" t="s">
        <v>24</v>
      </c>
      <c r="C216" t="s">
        <v>7</v>
      </c>
      <c r="D216" t="s">
        <v>8</v>
      </c>
      <c r="E216" t="s">
        <v>11</v>
      </c>
      <c r="F216">
        <v>0</v>
      </c>
      <c r="G216">
        <v>70</v>
      </c>
      <c r="I216" s="2">
        <f t="shared" si="8"/>
        <v>70</v>
      </c>
    </row>
    <row r="217" spans="1:9" x14ac:dyDescent="0.35">
      <c r="A217" t="s">
        <v>31</v>
      </c>
      <c r="B217" t="s">
        <v>24</v>
      </c>
      <c r="C217" t="s">
        <v>12</v>
      </c>
      <c r="D217" t="s">
        <v>13</v>
      </c>
      <c r="E217" t="s">
        <v>11</v>
      </c>
      <c r="F217">
        <v>20</v>
      </c>
      <c r="G217">
        <v>70</v>
      </c>
      <c r="I217" s="2">
        <f t="shared" si="8"/>
        <v>90</v>
      </c>
    </row>
    <row r="218" spans="1:9" x14ac:dyDescent="0.35">
      <c r="A218" t="s">
        <v>31</v>
      </c>
      <c r="B218" t="s">
        <v>24</v>
      </c>
      <c r="C218" t="s">
        <v>12</v>
      </c>
      <c r="D218" t="s">
        <v>14</v>
      </c>
      <c r="E218" t="s">
        <v>11</v>
      </c>
      <c r="F218">
        <v>0</v>
      </c>
      <c r="G218">
        <v>70</v>
      </c>
      <c r="I218" s="2">
        <f t="shared" si="8"/>
        <v>70</v>
      </c>
    </row>
    <row r="219" spans="1:9" x14ac:dyDescent="0.35">
      <c r="A219" t="s">
        <v>31</v>
      </c>
      <c r="B219" t="s">
        <v>24</v>
      </c>
      <c r="C219" t="s">
        <v>12</v>
      </c>
      <c r="D219" t="s">
        <v>15</v>
      </c>
      <c r="E219" t="s">
        <v>11</v>
      </c>
      <c r="F219">
        <v>0</v>
      </c>
      <c r="G219">
        <v>70</v>
      </c>
      <c r="I219" s="2">
        <f t="shared" si="8"/>
        <v>70</v>
      </c>
    </row>
    <row r="220" spans="1:9" x14ac:dyDescent="0.35">
      <c r="A220" t="s">
        <v>31</v>
      </c>
      <c r="B220" t="s">
        <v>24</v>
      </c>
      <c r="C220" t="s">
        <v>16</v>
      </c>
      <c r="D220" t="s">
        <v>17</v>
      </c>
      <c r="E220" t="s">
        <v>11</v>
      </c>
      <c r="F220">
        <v>100</v>
      </c>
      <c r="G220">
        <v>70</v>
      </c>
      <c r="I220" s="2">
        <f t="shared" si="8"/>
        <v>170</v>
      </c>
    </row>
    <row r="221" spans="1:9" x14ac:dyDescent="0.35">
      <c r="A221" t="s">
        <v>31</v>
      </c>
      <c r="B221" t="s">
        <v>24</v>
      </c>
      <c r="C221" t="s">
        <v>16</v>
      </c>
      <c r="D221" t="s">
        <v>18</v>
      </c>
      <c r="E221" t="s">
        <v>11</v>
      </c>
      <c r="F221">
        <v>40</v>
      </c>
      <c r="G221">
        <v>70</v>
      </c>
      <c r="I221" s="2">
        <f t="shared" si="8"/>
        <v>110</v>
      </c>
    </row>
    <row r="222" spans="1:9" x14ac:dyDescent="0.35">
      <c r="A222" t="s">
        <v>31</v>
      </c>
      <c r="B222" t="s">
        <v>24</v>
      </c>
      <c r="C222" t="s">
        <v>19</v>
      </c>
      <c r="D222" t="s">
        <v>20</v>
      </c>
      <c r="E222" t="s">
        <v>11</v>
      </c>
      <c r="F222">
        <v>70</v>
      </c>
      <c r="G222">
        <v>140</v>
      </c>
      <c r="I222" s="2">
        <f t="shared" si="8"/>
        <v>210</v>
      </c>
    </row>
    <row r="223" spans="1:9" x14ac:dyDescent="0.35">
      <c r="A223" t="s">
        <v>31</v>
      </c>
      <c r="B223" t="s">
        <v>24</v>
      </c>
      <c r="C223" t="s">
        <v>19</v>
      </c>
      <c r="D223" t="s">
        <v>21</v>
      </c>
      <c r="E223" t="s">
        <v>11</v>
      </c>
      <c r="F223">
        <v>50</v>
      </c>
      <c r="G223">
        <v>70</v>
      </c>
      <c r="I223" s="2">
        <f t="shared" si="8"/>
        <v>120</v>
      </c>
    </row>
    <row r="224" spans="1:9" x14ac:dyDescent="0.35">
      <c r="A224" t="s">
        <v>31</v>
      </c>
      <c r="B224" t="s">
        <v>24</v>
      </c>
      <c r="C224" t="s">
        <v>7</v>
      </c>
      <c r="D224" t="s">
        <v>8</v>
      </c>
      <c r="E224" t="s">
        <v>32</v>
      </c>
      <c r="F224">
        <v>1196</v>
      </c>
      <c r="G224">
        <v>650</v>
      </c>
      <c r="I224" s="2">
        <f t="shared" si="8"/>
        <v>1846</v>
      </c>
    </row>
    <row r="225" spans="1:9" x14ac:dyDescent="0.35">
      <c r="A225" t="s">
        <v>31</v>
      </c>
      <c r="B225" t="s">
        <v>24</v>
      </c>
      <c r="C225" t="s">
        <v>12</v>
      </c>
      <c r="D225" t="s">
        <v>13</v>
      </c>
      <c r="E225" t="s">
        <v>32</v>
      </c>
      <c r="F225">
        <v>1586</v>
      </c>
      <c r="G225">
        <v>0</v>
      </c>
      <c r="I225" s="2">
        <f t="shared" si="8"/>
        <v>1586</v>
      </c>
    </row>
    <row r="226" spans="1:9" x14ac:dyDescent="0.35">
      <c r="A226" t="s">
        <v>31</v>
      </c>
      <c r="B226" t="s">
        <v>24</v>
      </c>
      <c r="C226" t="s">
        <v>12</v>
      </c>
      <c r="D226" t="s">
        <v>14</v>
      </c>
      <c r="E226" t="s">
        <v>32</v>
      </c>
      <c r="F226">
        <v>2080</v>
      </c>
      <c r="G226">
        <v>195</v>
      </c>
      <c r="I226" s="2">
        <f t="shared" si="8"/>
        <v>2275</v>
      </c>
    </row>
    <row r="227" spans="1:9" x14ac:dyDescent="0.35">
      <c r="A227" t="s">
        <v>31</v>
      </c>
      <c r="B227" t="s">
        <v>24</v>
      </c>
      <c r="C227" t="s">
        <v>12</v>
      </c>
      <c r="D227" t="s">
        <v>15</v>
      </c>
      <c r="E227" t="s">
        <v>32</v>
      </c>
      <c r="F227">
        <v>1534</v>
      </c>
      <c r="G227">
        <v>195</v>
      </c>
      <c r="I227" s="2">
        <f t="shared" si="8"/>
        <v>1729</v>
      </c>
    </row>
    <row r="228" spans="1:9" x14ac:dyDescent="0.35">
      <c r="A228" t="s">
        <v>31</v>
      </c>
      <c r="B228" t="s">
        <v>24</v>
      </c>
      <c r="C228" t="s">
        <v>16</v>
      </c>
      <c r="D228" t="s">
        <v>17</v>
      </c>
      <c r="E228" t="s">
        <v>32</v>
      </c>
      <c r="F228">
        <v>2990</v>
      </c>
      <c r="G228">
        <v>429</v>
      </c>
      <c r="I228" s="2">
        <f t="shared" si="8"/>
        <v>3419</v>
      </c>
    </row>
    <row r="229" spans="1:9" x14ac:dyDescent="0.35">
      <c r="A229" t="s">
        <v>31</v>
      </c>
      <c r="B229" t="s">
        <v>24</v>
      </c>
      <c r="C229" t="s">
        <v>16</v>
      </c>
      <c r="D229" t="s">
        <v>18</v>
      </c>
      <c r="E229" t="s">
        <v>32</v>
      </c>
      <c r="F229">
        <v>2210</v>
      </c>
      <c r="G229">
        <v>338</v>
      </c>
      <c r="I229" s="2">
        <f t="shared" si="8"/>
        <v>2548</v>
      </c>
    </row>
    <row r="230" spans="1:9" x14ac:dyDescent="0.35">
      <c r="A230" t="s">
        <v>31</v>
      </c>
      <c r="B230" t="s">
        <v>24</v>
      </c>
      <c r="C230" t="s">
        <v>19</v>
      </c>
      <c r="D230" t="s">
        <v>20</v>
      </c>
      <c r="E230" t="s">
        <v>32</v>
      </c>
      <c r="F230">
        <v>3211</v>
      </c>
      <c r="G230">
        <v>130</v>
      </c>
      <c r="I230" s="2">
        <f t="shared" si="8"/>
        <v>3341</v>
      </c>
    </row>
    <row r="231" spans="1:9" x14ac:dyDescent="0.35">
      <c r="A231" t="s">
        <v>31</v>
      </c>
      <c r="B231" t="s">
        <v>24</v>
      </c>
      <c r="C231" t="s">
        <v>19</v>
      </c>
      <c r="D231" t="s">
        <v>21</v>
      </c>
      <c r="E231" t="s">
        <v>32</v>
      </c>
      <c r="F231">
        <v>2236</v>
      </c>
      <c r="G231">
        <v>130</v>
      </c>
      <c r="I231" s="2">
        <f t="shared" si="8"/>
        <v>2366</v>
      </c>
    </row>
    <row r="232" spans="1:9" x14ac:dyDescent="0.35">
      <c r="A232" t="s">
        <v>31</v>
      </c>
      <c r="B232" t="s">
        <v>24</v>
      </c>
      <c r="C232" t="s">
        <v>7</v>
      </c>
      <c r="D232" t="s">
        <v>8</v>
      </c>
      <c r="E232" t="s">
        <v>33</v>
      </c>
      <c r="F232">
        <v>676</v>
      </c>
      <c r="G232">
        <v>169</v>
      </c>
      <c r="I232" s="2">
        <f t="shared" ref="I232:I263" si="9">SUM(F232,G232,H232)</f>
        <v>845</v>
      </c>
    </row>
    <row r="233" spans="1:9" x14ac:dyDescent="0.35">
      <c r="A233" t="s">
        <v>31</v>
      </c>
      <c r="B233" t="s">
        <v>24</v>
      </c>
      <c r="C233" t="s">
        <v>12</v>
      </c>
      <c r="D233" t="s">
        <v>13</v>
      </c>
      <c r="E233" t="s">
        <v>33</v>
      </c>
      <c r="F233">
        <v>169</v>
      </c>
      <c r="G233">
        <v>0</v>
      </c>
      <c r="I233" s="2">
        <f t="shared" si="9"/>
        <v>169</v>
      </c>
    </row>
    <row r="234" spans="1:9" x14ac:dyDescent="0.35">
      <c r="A234" t="s">
        <v>31</v>
      </c>
      <c r="B234" t="s">
        <v>24</v>
      </c>
      <c r="C234" t="s">
        <v>12</v>
      </c>
      <c r="D234" t="s">
        <v>14</v>
      </c>
      <c r="E234" t="s">
        <v>33</v>
      </c>
      <c r="F234">
        <v>0</v>
      </c>
      <c r="G234">
        <v>0</v>
      </c>
      <c r="I234" s="2">
        <f t="shared" si="9"/>
        <v>0</v>
      </c>
    </row>
    <row r="235" spans="1:9" x14ac:dyDescent="0.35">
      <c r="A235" t="s">
        <v>31</v>
      </c>
      <c r="B235" t="s">
        <v>24</v>
      </c>
      <c r="C235" t="s">
        <v>12</v>
      </c>
      <c r="D235" t="s">
        <v>15</v>
      </c>
      <c r="E235" t="s">
        <v>33</v>
      </c>
      <c r="F235">
        <v>507</v>
      </c>
      <c r="G235">
        <v>0</v>
      </c>
      <c r="I235" s="2">
        <f t="shared" si="9"/>
        <v>507</v>
      </c>
    </row>
    <row r="236" spans="1:9" x14ac:dyDescent="0.35">
      <c r="A236" t="s">
        <v>31</v>
      </c>
      <c r="B236" t="s">
        <v>24</v>
      </c>
      <c r="C236" t="s">
        <v>16</v>
      </c>
      <c r="D236" t="s">
        <v>17</v>
      </c>
      <c r="E236" t="s">
        <v>33</v>
      </c>
      <c r="F236">
        <v>507</v>
      </c>
      <c r="G236">
        <v>169</v>
      </c>
      <c r="I236" s="2">
        <f t="shared" si="9"/>
        <v>676</v>
      </c>
    </row>
    <row r="237" spans="1:9" x14ac:dyDescent="0.35">
      <c r="A237" t="s">
        <v>31</v>
      </c>
      <c r="B237" t="s">
        <v>24</v>
      </c>
      <c r="C237" t="s">
        <v>16</v>
      </c>
      <c r="D237" t="s">
        <v>18</v>
      </c>
      <c r="E237" t="s">
        <v>33</v>
      </c>
      <c r="F237">
        <v>338</v>
      </c>
      <c r="G237">
        <v>0</v>
      </c>
      <c r="I237" s="2">
        <f t="shared" si="9"/>
        <v>338</v>
      </c>
    </row>
    <row r="238" spans="1:9" x14ac:dyDescent="0.35">
      <c r="A238" t="s">
        <v>31</v>
      </c>
      <c r="B238" t="s">
        <v>24</v>
      </c>
      <c r="C238" t="s">
        <v>19</v>
      </c>
      <c r="D238" t="s">
        <v>20</v>
      </c>
      <c r="E238" t="s">
        <v>33</v>
      </c>
      <c r="F238">
        <v>169</v>
      </c>
      <c r="G238">
        <v>0</v>
      </c>
      <c r="I238" s="2">
        <f t="shared" si="9"/>
        <v>169</v>
      </c>
    </row>
    <row r="239" spans="1:9" x14ac:dyDescent="0.35">
      <c r="A239" t="s">
        <v>31</v>
      </c>
      <c r="B239" t="s">
        <v>24</v>
      </c>
      <c r="C239" t="s">
        <v>19</v>
      </c>
      <c r="D239" t="s">
        <v>21</v>
      </c>
      <c r="E239" t="s">
        <v>33</v>
      </c>
      <c r="F239">
        <v>169</v>
      </c>
      <c r="G239">
        <v>0</v>
      </c>
      <c r="I239" s="2">
        <f t="shared" si="9"/>
        <v>169</v>
      </c>
    </row>
    <row r="240" spans="1:9" x14ac:dyDescent="0.35">
      <c r="A240" t="s">
        <v>31</v>
      </c>
      <c r="B240" t="s">
        <v>24</v>
      </c>
      <c r="C240" t="s">
        <v>7</v>
      </c>
      <c r="D240" t="s">
        <v>8</v>
      </c>
      <c r="E240" t="s">
        <v>34</v>
      </c>
      <c r="F240">
        <v>390</v>
      </c>
      <c r="G240">
        <v>481</v>
      </c>
      <c r="I240" s="2">
        <f t="shared" si="9"/>
        <v>871</v>
      </c>
    </row>
    <row r="241" spans="1:9" x14ac:dyDescent="0.35">
      <c r="A241" t="s">
        <v>31</v>
      </c>
      <c r="B241" t="s">
        <v>24</v>
      </c>
      <c r="C241" t="s">
        <v>12</v>
      </c>
      <c r="D241" t="s">
        <v>13</v>
      </c>
      <c r="E241" t="s">
        <v>34</v>
      </c>
      <c r="F241">
        <v>390</v>
      </c>
      <c r="G241">
        <v>416</v>
      </c>
      <c r="I241" s="2">
        <f t="shared" si="9"/>
        <v>806</v>
      </c>
    </row>
    <row r="242" spans="1:9" x14ac:dyDescent="0.35">
      <c r="A242" t="s">
        <v>31</v>
      </c>
      <c r="B242" t="s">
        <v>24</v>
      </c>
      <c r="C242" t="s">
        <v>12</v>
      </c>
      <c r="D242" t="s">
        <v>14</v>
      </c>
      <c r="E242" t="s">
        <v>34</v>
      </c>
      <c r="F242">
        <v>1560</v>
      </c>
      <c r="G242">
        <v>1846</v>
      </c>
      <c r="I242" s="2">
        <f t="shared" si="9"/>
        <v>3406</v>
      </c>
    </row>
    <row r="243" spans="1:9" x14ac:dyDescent="0.35">
      <c r="A243" t="s">
        <v>31</v>
      </c>
      <c r="B243" t="s">
        <v>24</v>
      </c>
      <c r="C243" t="s">
        <v>12</v>
      </c>
      <c r="D243" t="s">
        <v>15</v>
      </c>
      <c r="E243" t="s">
        <v>34</v>
      </c>
      <c r="F243">
        <v>910</v>
      </c>
      <c r="G243">
        <v>1040</v>
      </c>
      <c r="I243" s="2">
        <f t="shared" si="9"/>
        <v>1950</v>
      </c>
    </row>
    <row r="244" spans="1:9" x14ac:dyDescent="0.35">
      <c r="A244" t="s">
        <v>31</v>
      </c>
      <c r="B244" t="s">
        <v>24</v>
      </c>
      <c r="C244" t="s">
        <v>16</v>
      </c>
      <c r="D244" t="s">
        <v>17</v>
      </c>
      <c r="E244" t="s">
        <v>34</v>
      </c>
      <c r="F244">
        <v>1430</v>
      </c>
      <c r="G244">
        <v>1963</v>
      </c>
      <c r="I244" s="2">
        <f t="shared" si="9"/>
        <v>3393</v>
      </c>
    </row>
    <row r="245" spans="1:9" x14ac:dyDescent="0.35">
      <c r="A245" t="s">
        <v>31</v>
      </c>
      <c r="B245" t="s">
        <v>24</v>
      </c>
      <c r="C245" t="s">
        <v>16</v>
      </c>
      <c r="D245" t="s">
        <v>18</v>
      </c>
      <c r="E245" t="s">
        <v>34</v>
      </c>
      <c r="F245">
        <v>390</v>
      </c>
      <c r="G245">
        <v>572</v>
      </c>
      <c r="I245" s="2">
        <f t="shared" si="9"/>
        <v>962</v>
      </c>
    </row>
    <row r="246" spans="1:9" x14ac:dyDescent="0.35">
      <c r="A246" t="s">
        <v>31</v>
      </c>
      <c r="B246" t="s">
        <v>24</v>
      </c>
      <c r="C246" t="s">
        <v>19</v>
      </c>
      <c r="D246" t="s">
        <v>20</v>
      </c>
      <c r="E246" t="s">
        <v>34</v>
      </c>
      <c r="F246">
        <v>390</v>
      </c>
      <c r="G246">
        <v>585</v>
      </c>
      <c r="I246" s="2">
        <f t="shared" si="9"/>
        <v>975</v>
      </c>
    </row>
    <row r="247" spans="1:9" x14ac:dyDescent="0.35">
      <c r="A247" t="s">
        <v>31</v>
      </c>
      <c r="B247" t="s">
        <v>24</v>
      </c>
      <c r="C247" t="s">
        <v>19</v>
      </c>
      <c r="D247" t="s">
        <v>21</v>
      </c>
      <c r="E247" t="s">
        <v>34</v>
      </c>
      <c r="F247">
        <v>2756</v>
      </c>
      <c r="G247">
        <v>3302</v>
      </c>
      <c r="I247" s="2">
        <f t="shared" si="9"/>
        <v>6058</v>
      </c>
    </row>
    <row r="248" spans="1:9" x14ac:dyDescent="0.35">
      <c r="A248" t="s">
        <v>31</v>
      </c>
      <c r="B248" t="s">
        <v>24</v>
      </c>
      <c r="C248" t="s">
        <v>7</v>
      </c>
      <c r="D248" t="s">
        <v>8</v>
      </c>
      <c r="E248" t="s">
        <v>35</v>
      </c>
      <c r="F248">
        <v>3549</v>
      </c>
      <c r="G248">
        <v>1885</v>
      </c>
      <c r="I248" s="2">
        <f t="shared" si="9"/>
        <v>5434</v>
      </c>
    </row>
    <row r="249" spans="1:9" x14ac:dyDescent="0.35">
      <c r="A249" t="s">
        <v>31</v>
      </c>
      <c r="B249" t="s">
        <v>24</v>
      </c>
      <c r="C249" t="s">
        <v>12</v>
      </c>
      <c r="D249" t="s">
        <v>13</v>
      </c>
      <c r="E249" t="s">
        <v>35</v>
      </c>
      <c r="F249">
        <v>2873</v>
      </c>
      <c r="G249">
        <v>1469</v>
      </c>
      <c r="I249" s="2">
        <f t="shared" si="9"/>
        <v>4342</v>
      </c>
    </row>
    <row r="250" spans="1:9" x14ac:dyDescent="0.35">
      <c r="A250" t="s">
        <v>31</v>
      </c>
      <c r="B250" t="s">
        <v>24</v>
      </c>
      <c r="C250" t="s">
        <v>12</v>
      </c>
      <c r="D250" t="s">
        <v>14</v>
      </c>
      <c r="E250" t="s">
        <v>35</v>
      </c>
      <c r="F250">
        <v>2535</v>
      </c>
      <c r="G250">
        <v>1183</v>
      </c>
      <c r="I250" s="2">
        <f t="shared" si="9"/>
        <v>3718</v>
      </c>
    </row>
    <row r="251" spans="1:9" x14ac:dyDescent="0.35">
      <c r="A251" t="s">
        <v>31</v>
      </c>
      <c r="B251" t="s">
        <v>24</v>
      </c>
      <c r="C251" t="s">
        <v>12</v>
      </c>
      <c r="D251" t="s">
        <v>15</v>
      </c>
      <c r="E251" t="s">
        <v>35</v>
      </c>
      <c r="F251">
        <v>2704</v>
      </c>
      <c r="G251">
        <v>1521</v>
      </c>
      <c r="I251" s="2">
        <f t="shared" si="9"/>
        <v>4225</v>
      </c>
    </row>
    <row r="252" spans="1:9" x14ac:dyDescent="0.35">
      <c r="A252" t="s">
        <v>31</v>
      </c>
      <c r="B252" t="s">
        <v>24</v>
      </c>
      <c r="C252" t="s">
        <v>16</v>
      </c>
      <c r="D252" t="s">
        <v>17</v>
      </c>
      <c r="E252" t="s">
        <v>35</v>
      </c>
      <c r="F252">
        <v>3718</v>
      </c>
      <c r="G252">
        <v>1794</v>
      </c>
      <c r="I252" s="2">
        <f t="shared" si="9"/>
        <v>5512</v>
      </c>
    </row>
    <row r="253" spans="1:9" x14ac:dyDescent="0.35">
      <c r="A253" t="s">
        <v>31</v>
      </c>
      <c r="B253" t="s">
        <v>24</v>
      </c>
      <c r="C253" t="s">
        <v>16</v>
      </c>
      <c r="D253" t="s">
        <v>18</v>
      </c>
      <c r="E253" t="s">
        <v>35</v>
      </c>
      <c r="F253">
        <v>2197</v>
      </c>
      <c r="G253">
        <v>1183</v>
      </c>
      <c r="I253" s="2">
        <f t="shared" si="9"/>
        <v>3380</v>
      </c>
    </row>
    <row r="254" spans="1:9" x14ac:dyDescent="0.35">
      <c r="A254" t="s">
        <v>31</v>
      </c>
      <c r="B254" t="s">
        <v>24</v>
      </c>
      <c r="C254" t="s">
        <v>19</v>
      </c>
      <c r="D254" t="s">
        <v>20</v>
      </c>
      <c r="E254" t="s">
        <v>35</v>
      </c>
      <c r="F254">
        <v>2730</v>
      </c>
      <c r="G254">
        <v>1443</v>
      </c>
      <c r="I254" s="2">
        <f t="shared" si="9"/>
        <v>4173</v>
      </c>
    </row>
    <row r="255" spans="1:9" x14ac:dyDescent="0.35">
      <c r="A255" t="s">
        <v>31</v>
      </c>
      <c r="B255" t="s">
        <v>24</v>
      </c>
      <c r="C255" t="s">
        <v>19</v>
      </c>
      <c r="D255" t="s">
        <v>21</v>
      </c>
      <c r="E255" t="s">
        <v>35</v>
      </c>
      <c r="F255">
        <v>2366</v>
      </c>
      <c r="G255">
        <v>1079</v>
      </c>
      <c r="I255" s="2">
        <f t="shared" si="9"/>
        <v>3445</v>
      </c>
    </row>
    <row r="256" spans="1:9" x14ac:dyDescent="0.35">
      <c r="A256" t="s">
        <v>31</v>
      </c>
      <c r="B256" t="s">
        <v>24</v>
      </c>
      <c r="C256" t="s">
        <v>7</v>
      </c>
      <c r="D256" t="s">
        <v>8</v>
      </c>
      <c r="E256" t="s">
        <v>36</v>
      </c>
      <c r="F256">
        <v>520</v>
      </c>
      <c r="G256">
        <v>1210</v>
      </c>
      <c r="I256" s="2">
        <f t="shared" si="9"/>
        <v>1730</v>
      </c>
    </row>
    <row r="257" spans="1:9" x14ac:dyDescent="0.35">
      <c r="A257" t="s">
        <v>31</v>
      </c>
      <c r="B257" t="s">
        <v>24</v>
      </c>
      <c r="C257" t="s">
        <v>12</v>
      </c>
      <c r="D257" t="s">
        <v>13</v>
      </c>
      <c r="E257" t="s">
        <v>36</v>
      </c>
      <c r="F257">
        <v>0</v>
      </c>
      <c r="G257">
        <v>0</v>
      </c>
      <c r="I257" s="2">
        <f t="shared" si="9"/>
        <v>0</v>
      </c>
    </row>
    <row r="258" spans="1:9" x14ac:dyDescent="0.35">
      <c r="A258" t="s">
        <v>31</v>
      </c>
      <c r="B258" t="s">
        <v>24</v>
      </c>
      <c r="C258" t="s">
        <v>12</v>
      </c>
      <c r="D258" t="s">
        <v>14</v>
      </c>
      <c r="E258" t="s">
        <v>36</v>
      </c>
      <c r="F258">
        <v>0</v>
      </c>
      <c r="G258">
        <v>310</v>
      </c>
      <c r="I258" s="2">
        <f t="shared" si="9"/>
        <v>310</v>
      </c>
    </row>
    <row r="259" spans="1:9" x14ac:dyDescent="0.35">
      <c r="A259" t="s">
        <v>31</v>
      </c>
      <c r="B259" t="s">
        <v>24</v>
      </c>
      <c r="C259" t="s">
        <v>12</v>
      </c>
      <c r="D259" t="s">
        <v>15</v>
      </c>
      <c r="E259" t="s">
        <v>36</v>
      </c>
      <c r="F259">
        <v>0</v>
      </c>
      <c r="G259">
        <v>130</v>
      </c>
      <c r="I259" s="2">
        <f t="shared" si="9"/>
        <v>130</v>
      </c>
    </row>
    <row r="260" spans="1:9" x14ac:dyDescent="0.35">
      <c r="A260" t="s">
        <v>31</v>
      </c>
      <c r="B260" t="s">
        <v>24</v>
      </c>
      <c r="C260" t="s">
        <v>16</v>
      </c>
      <c r="D260" t="s">
        <v>17</v>
      </c>
      <c r="E260" t="s">
        <v>36</v>
      </c>
      <c r="F260">
        <v>910</v>
      </c>
      <c r="G260">
        <v>1040</v>
      </c>
      <c r="I260" s="2">
        <f t="shared" si="9"/>
        <v>1950</v>
      </c>
    </row>
    <row r="261" spans="1:9" x14ac:dyDescent="0.35">
      <c r="A261" t="s">
        <v>31</v>
      </c>
      <c r="B261" t="s">
        <v>24</v>
      </c>
      <c r="C261" t="s">
        <v>16</v>
      </c>
      <c r="D261" t="s">
        <v>18</v>
      </c>
      <c r="E261" t="s">
        <v>36</v>
      </c>
      <c r="F261">
        <v>130</v>
      </c>
      <c r="G261">
        <v>260</v>
      </c>
      <c r="I261" s="2">
        <f t="shared" si="9"/>
        <v>390</v>
      </c>
    </row>
    <row r="262" spans="1:9" x14ac:dyDescent="0.35">
      <c r="A262" t="s">
        <v>31</v>
      </c>
      <c r="B262" t="s">
        <v>24</v>
      </c>
      <c r="C262" t="s">
        <v>19</v>
      </c>
      <c r="D262" t="s">
        <v>20</v>
      </c>
      <c r="E262" t="s">
        <v>36</v>
      </c>
      <c r="F262">
        <v>370</v>
      </c>
      <c r="G262">
        <v>320</v>
      </c>
      <c r="I262" s="2">
        <f t="shared" si="9"/>
        <v>690</v>
      </c>
    </row>
    <row r="263" spans="1:9" x14ac:dyDescent="0.35">
      <c r="A263" t="s">
        <v>31</v>
      </c>
      <c r="B263" t="s">
        <v>24</v>
      </c>
      <c r="C263" t="s">
        <v>19</v>
      </c>
      <c r="D263" t="s">
        <v>21</v>
      </c>
      <c r="E263" t="s">
        <v>36</v>
      </c>
      <c r="F263">
        <v>0</v>
      </c>
      <c r="G263">
        <v>360</v>
      </c>
      <c r="I263" s="2">
        <f t="shared" si="9"/>
        <v>360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3DCEC-9EED-4838-948F-C716FA802D1E}">
  <dimension ref="A1:E7"/>
  <sheetViews>
    <sheetView workbookViewId="0">
      <selection activeCell="D8" sqref="D8"/>
    </sheetView>
  </sheetViews>
  <sheetFormatPr defaultRowHeight="14.5" x14ac:dyDescent="0.35"/>
  <cols>
    <col min="2" max="2" width="10.1796875" customWidth="1"/>
    <col min="3" max="5" width="10.08984375" bestFit="1" customWidth="1"/>
  </cols>
  <sheetData>
    <row r="1" spans="1:5" x14ac:dyDescent="0.35">
      <c r="A1" s="5" t="s">
        <v>0</v>
      </c>
      <c r="B1" s="5" t="s">
        <v>28</v>
      </c>
      <c r="C1" s="5" t="s">
        <v>25</v>
      </c>
      <c r="D1" s="5" t="s">
        <v>26</v>
      </c>
      <c r="E1" s="5" t="s">
        <v>27</v>
      </c>
    </row>
    <row r="2" spans="1:5" x14ac:dyDescent="0.35">
      <c r="A2" s="3" t="s">
        <v>6</v>
      </c>
      <c r="B2" t="str">
        <f>_xlfn.TEXTAFTER(A2,"W")</f>
        <v>39</v>
      </c>
      <c r="C2" s="4">
        <f ca="1">DATE(YEAR(TODAY()),1,4)-WEEKDAY(DATE(YEAR(TODAY()),1,4),2)+1+(B2-1)*7</f>
        <v>46286</v>
      </c>
      <c r="D2" s="4">
        <f ca="1">C2+3</f>
        <v>46289</v>
      </c>
      <c r="E2" s="4">
        <f ca="1">D2+2</f>
        <v>46291</v>
      </c>
    </row>
    <row r="3" spans="1:5" x14ac:dyDescent="0.35">
      <c r="A3" s="3" t="s">
        <v>22</v>
      </c>
      <c r="B3" t="str">
        <f t="shared" ref="B3:B7" si="0">_xlfn.TEXTAFTER(A3,"W")</f>
        <v>40</v>
      </c>
      <c r="C3" s="4">
        <f t="shared" ref="C3:C7" ca="1" si="1">DATE(YEAR(TODAY()),1,4)-WEEKDAY(DATE(YEAR(TODAY()),1,4),2)+1+(B3-1)*7</f>
        <v>46293</v>
      </c>
      <c r="D3" s="4">
        <f t="shared" ref="D3:D6" ca="1" si="2">C3+3</f>
        <v>46296</v>
      </c>
      <c r="E3" s="4"/>
    </row>
    <row r="4" spans="1:5" x14ac:dyDescent="0.35">
      <c r="A4" s="3" t="s">
        <v>23</v>
      </c>
      <c r="B4" t="str">
        <f t="shared" si="0"/>
        <v>41</v>
      </c>
      <c r="C4" s="4">
        <f t="shared" ca="1" si="1"/>
        <v>46300</v>
      </c>
      <c r="D4" s="4">
        <f t="shared" ca="1" si="2"/>
        <v>46303</v>
      </c>
      <c r="E4" s="4"/>
    </row>
    <row r="5" spans="1:5" x14ac:dyDescent="0.35">
      <c r="A5" t="s">
        <v>29</v>
      </c>
      <c r="B5" t="str">
        <f t="shared" si="0"/>
        <v>42</v>
      </c>
      <c r="C5" s="4">
        <f t="shared" ca="1" si="1"/>
        <v>46307</v>
      </c>
      <c r="D5" s="4">
        <f t="shared" ca="1" si="2"/>
        <v>46310</v>
      </c>
      <c r="E5" s="4"/>
    </row>
    <row r="6" spans="1:5" x14ac:dyDescent="0.35">
      <c r="A6" t="s">
        <v>30</v>
      </c>
      <c r="B6" t="str">
        <f t="shared" si="0"/>
        <v>43</v>
      </c>
      <c r="C6" s="4">
        <f t="shared" ca="1" si="1"/>
        <v>46314</v>
      </c>
      <c r="D6" s="4">
        <f t="shared" ca="1" si="2"/>
        <v>46317</v>
      </c>
      <c r="E6" s="4">
        <v>46318</v>
      </c>
    </row>
    <row r="7" spans="1:5" x14ac:dyDescent="0.35">
      <c r="A7" t="s">
        <v>31</v>
      </c>
      <c r="B7" t="str">
        <f t="shared" si="0"/>
        <v>44</v>
      </c>
      <c r="C7" s="4">
        <f t="shared" ca="1" si="1"/>
        <v>46321</v>
      </c>
      <c r="D7" s="4">
        <f ca="1">C7+1</f>
        <v>46322</v>
      </c>
      <c r="E7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Allocation</vt:lpstr>
      <vt:lpstr>Upload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Ta Thi Thu</dc:creator>
  <cp:lastModifiedBy>Minh Ta Thi Thu</cp:lastModifiedBy>
  <dcterms:created xsi:type="dcterms:W3CDTF">2026-10-04T07:44:44Z</dcterms:created>
  <dcterms:modified xsi:type="dcterms:W3CDTF">2026-10-27T03:11:07Z</dcterms:modified>
</cp:coreProperties>
</file>